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comments/comment2.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and Center" sheetId="1" state="visible" r:id="rId1"/>
    <sheet xmlns:r="http://schemas.openxmlformats.org/officeDocument/2006/relationships" name="90-Day Sprints" sheetId="2" state="visible" r:id="rId2"/>
    <sheet xmlns:r="http://schemas.openxmlformats.org/officeDocument/2006/relationships" name="Task Backlog" sheetId="3" state="visible" r:id="rId3"/>
    <sheet xmlns:r="http://schemas.openxmlformats.org/officeDocument/2006/relationships" name="Content Queue" sheetId="4" state="visible" r:id="rId4"/>
    <sheet xmlns:r="http://schemas.openxmlformats.org/officeDocument/2006/relationships" name="Product &amp; Funnel" sheetId="5" state="visible" r:id="rId5"/>
    <sheet xmlns:r="http://schemas.openxmlformats.org/officeDocument/2006/relationships" name="Metrics" sheetId="6" state="visible" r:id="rId6"/>
    <sheet xmlns:r="http://schemas.openxmlformats.org/officeDocument/2006/relationships" name="Sources" sheetId="7" state="visible" r:id="rId7"/>
  </sheets>
  <definedNames/>
  <calcPr calcId="124519" calcMode="auto" fullCalcOnLoad="1" forceFullCalc="1"/>
</workbook>
</file>

<file path=xl/styles.xml><?xml version="1.0" encoding="utf-8"?>
<styleSheet xmlns="http://schemas.openxmlformats.org/spreadsheetml/2006/main">
  <numFmts count="8">
    <numFmt numFmtId="164" formatCode="0.0%"/>
    <numFmt numFmtId="165" formatCode="0.0"/>
    <numFmt numFmtId="166" formatCode="$#,##0.00"/>
    <numFmt numFmtId="167" formatCode="yyyy-mm-dd"/>
    <numFmt numFmtId="168" formatCode="dd-mmm-yyyy"/>
    <numFmt numFmtId="169" formatCode="$#,##0"/>
    <numFmt numFmtId="170" formatCode="$0.00"/>
    <numFmt numFmtId="171" formatCode="dd-mmm"/>
  </numFmts>
  <fonts count="15">
    <font>
      <name val="Calibri"/>
      <family val="2"/>
      <color theme="1"/>
      <sz val="11"/>
      <scheme val="minor"/>
    </font>
    <font>
      <name val="Arial Narrow"/>
      <b val="1"/>
      <color rgb="00FFFFFF"/>
      <sz val="22"/>
    </font>
    <font>
      <name val="Arial"/>
      <color rgb="00D9D9D9"/>
      <sz val="10"/>
    </font>
    <font>
      <name val="Arial"/>
      <color rgb="000563C1"/>
      <sz val="10"/>
      <u val="single"/>
    </font>
    <font>
      <name val="Arial Narrow"/>
      <b val="1"/>
      <color rgb="00FFFFFF"/>
      <sz val="14"/>
    </font>
    <font>
      <name val="Arial Narrow"/>
      <b val="1"/>
      <color rgb="0034C363"/>
      <sz val="11"/>
    </font>
    <font>
      <name val="Arial"/>
      <color rgb="00000000"/>
      <sz val="10"/>
    </font>
    <font>
      <name val="Arial"/>
      <color rgb="00777777"/>
      <sz val="9"/>
    </font>
    <font>
      <name val="Arial Narrow"/>
      <b val="1"/>
      <color rgb="0034C363"/>
      <sz val="16"/>
    </font>
    <font>
      <name val="Arial"/>
      <b val="1"/>
      <color rgb="0034C363"/>
      <sz val="11"/>
    </font>
    <font>
      <name val="Arial"/>
      <b val="1"/>
      <color rgb="00000000"/>
    </font>
    <font>
      <name val="Arial Narrow"/>
      <b val="1"/>
      <color rgb="0034C363"/>
    </font>
    <font>
      <name val="Arial"/>
      <color rgb="000000FF"/>
      <sz val="10"/>
    </font>
    <font>
      <name val="Arial Narrow"/>
      <b val="1"/>
      <color rgb="00FFFFFF"/>
    </font>
    <font>
      <name val="Arial"/>
      <b val="1"/>
      <color rgb="00FFFFFF"/>
    </font>
  </fonts>
  <fills count="5">
    <fill>
      <patternFill/>
    </fill>
    <fill>
      <patternFill patternType="gray125"/>
    </fill>
    <fill>
      <patternFill patternType="solid"/>
    </fill>
    <fill>
      <patternFill patternType="solid">
        <fgColor rgb="00151515"/>
      </patternFill>
    </fill>
    <fill>
      <patternFill patternType="solid">
        <fgColor rgb="00E7E7E7"/>
      </patternFill>
    </fill>
  </fills>
  <borders count="1">
    <border>
      <left/>
      <right/>
      <top/>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0" borderId="0" applyAlignment="1" pivotButton="0" quotePrefix="0" xfId="0">
      <alignment horizontal="center"/>
    </xf>
    <xf numFmtId="0" fontId="4" fillId="3" borderId="0" applyAlignment="1" pivotButton="0" quotePrefix="0" xfId="0">
      <alignment vertical="center"/>
    </xf>
    <xf numFmtId="0" fontId="5" fillId="0" borderId="0" pivotButton="0" quotePrefix="0" xfId="0"/>
    <xf numFmtId="0" fontId="6" fillId="0" borderId="0" applyAlignment="1" pivotButton="0" quotePrefix="0" xfId="0">
      <alignment vertical="top" wrapText="1"/>
    </xf>
    <xf numFmtId="0" fontId="7" fillId="4" borderId="0" applyAlignment="1" pivotButton="0" quotePrefix="0" xfId="0">
      <alignment horizontal="center"/>
    </xf>
    <xf numFmtId="164" fontId="8" fillId="0" borderId="0" applyAlignment="1" pivotButton="0" quotePrefix="0" xfId="0">
      <alignment horizontal="center"/>
    </xf>
    <xf numFmtId="165" fontId="8" fillId="0" borderId="0" applyAlignment="1" pivotButton="0" quotePrefix="0" xfId="0">
      <alignment horizontal="center"/>
    </xf>
    <xf numFmtId="1" fontId="8" fillId="0" borderId="0" applyAlignment="1" pivotButton="0" quotePrefix="0" xfId="0">
      <alignment horizontal="center"/>
    </xf>
    <xf numFmtId="166" fontId="8" fillId="0" borderId="0" applyAlignment="1" pivotButton="0" quotePrefix="0" xfId="0">
      <alignment horizontal="center"/>
    </xf>
    <xf numFmtId="168" fontId="8" fillId="0" borderId="0" applyAlignment="1" pivotButton="0" quotePrefix="0" xfId="0">
      <alignment horizontal="center"/>
    </xf>
    <xf numFmtId="169" fontId="8" fillId="0" borderId="0" applyAlignment="1" pivotButton="0" quotePrefix="0" xfId="0">
      <alignment horizontal="center"/>
    </xf>
    <xf numFmtId="0" fontId="9" fillId="0" borderId="0" pivotButton="0" quotePrefix="0" xfId="0"/>
    <xf numFmtId="0" fontId="6" fillId="0" borderId="0" pivotButton="0" quotePrefix="0" xfId="0"/>
    <xf numFmtId="0" fontId="10" fillId="0" borderId="0" applyAlignment="1" pivotButton="0" quotePrefix="0" xfId="0">
      <alignment horizontal="right"/>
    </xf>
    <xf numFmtId="0" fontId="11" fillId="0" borderId="0" pivotButton="0" quotePrefix="0" xfId="0"/>
    <xf numFmtId="0" fontId="6" fillId="0" borderId="0"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horizontal="center" vertical="top"/>
    </xf>
    <xf numFmtId="1" fontId="0" fillId="0" borderId="0" applyAlignment="1" pivotButton="0" quotePrefix="0" xfId="0">
      <alignment horizontal="center" vertical="top"/>
    </xf>
    <xf numFmtId="0" fontId="12" fillId="0" borderId="0" applyAlignment="1" pivotButton="0" quotePrefix="0" xfId="0">
      <alignment vertical="top" wrapText="1"/>
    </xf>
    <xf numFmtId="164" fontId="12" fillId="0" borderId="0" pivotButton="0" quotePrefix="0" xfId="0"/>
    <xf numFmtId="0" fontId="7" fillId="0" borderId="0" pivotButton="0" quotePrefix="0" xfId="0"/>
    <xf numFmtId="170" fontId="12" fillId="0" borderId="0" pivotButton="0" quotePrefix="0" xfId="0"/>
    <xf numFmtId="169" fontId="12" fillId="0" borderId="0" pivotButton="0" quotePrefix="0" xfId="0"/>
    <xf numFmtId="165" fontId="12" fillId="0" borderId="0" pivotButton="0" quotePrefix="0" xfId="0"/>
    <xf numFmtId="171" fontId="0" fillId="0" borderId="0" pivotButton="0" quotePrefix="0" xfId="0"/>
    <xf numFmtId="0" fontId="12" fillId="0" borderId="0" pivotButton="0" quotePrefix="0" xfId="0"/>
    <xf numFmtId="166" fontId="12" fillId="0" borderId="0" pivotButton="0" quotePrefix="0" xfId="0"/>
    <xf numFmtId="166" fontId="0" fillId="0" borderId="0" pivotButton="0" quotePrefix="0" xfId="0"/>
    <xf numFmtId="164" fontId="0" fillId="0" borderId="0" pivotButton="0" quotePrefix="0" xfId="0"/>
    <xf numFmtId="169" fontId="0" fillId="0" borderId="0" pivotButton="0" quotePrefix="0" xfId="0"/>
    <xf numFmtId="170" fontId="0" fillId="0" borderId="0" pivotButton="0" quotePrefix="0" xfId="0"/>
    <xf numFmtId="0" fontId="14" fillId="2" borderId="0" pivotButton="0" quotePrefix="0" xfId="0"/>
    <xf numFmtId="164" fontId="14" fillId="2" borderId="0" pivotButton="0" quotePrefix="0" xfId="0"/>
    <xf numFmtId="169" fontId="14" fillId="2" borderId="0" pivotButton="0" quotePrefix="0" xfId="0"/>
    <xf numFmtId="1" fontId="14" fillId="2" borderId="0" pivotButton="0" quotePrefix="0" xfId="0"/>
    <xf numFmtId="0" fontId="3" fillId="0" borderId="0" applyAlignment="1" pivotButton="0" quotePrefix="0" xfId="0">
      <alignment vertical="top" wrapText="1"/>
    </xf>
  </cellXfs>
  <cellStyles count="1">
    <cellStyle name="Normal" xfId="0" builtinId="0" hidden="0"/>
  </cellStyles>
  <dxfs count="2">
    <dxf>
      <fill>
        <patternFill patternType="solid">
          <fgColor rgb="00FFC7CE"/>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Perplexity</author>
  </authors>
  <commentList>
    <comment ref="B18" authorId="0" shapeId="0">
      <text>
        <t>Formula counts Task Backlog rows marked Done.</t>
      </text>
    </comment>
  </commentList>
</comments>
</file>

<file path=xl/comments/comment2.xml><?xml version="1.0" encoding="utf-8"?>
<comments xmlns="http://schemas.openxmlformats.org/spreadsheetml/2006/main">
  <authors>
    <author>Perplexity</author>
  </authors>
  <commentList>
    <comment ref="C8" authorId="0" shapeId="0">
      <text>
        <t>Source: Gumroad fee page checked 24-Sep-2026. Change this when your actual platform mix changes.</t>
      </text>
    </comment>
    <comment ref="C10" authorId="0" shapeId="0">
      <text>
        <t>Stretch objective from the 1Crore2Reps project brief. It is not a forecast.</t>
      </text>
    </comment>
  </commentList>
</comments>
</file>

<file path=xl/tables/table1.xml><?xml version="1.0" encoding="utf-8"?>
<table xmlns="http://schemas.openxmlformats.org/spreadsheetml/2006/main" id="1" name="SprintTable" displayName="SprintTable" ref="B7:Q20" headerRowCount="1">
  <autoFilter ref="B7:Q20"/>
  <tableColumns count="16">
    <tableColumn id="2" name="Week"/>
    <tableColumn id="3" name="Dates"/>
    <tableColumn id="4" name="Outcome"/>
    <tableColumn id="5" name="Block 1"/>
    <tableColumn id="6" name="Min"/>
    <tableColumn id="7" name="Block 2"/>
    <tableColumn id="8" name="Min"/>
    <tableColumn id="9" name="Block 3"/>
    <tableColumn id="10" name="Min"/>
    <tableColumn id="11" name="Block 4"/>
    <tableColumn id="12" name="Min"/>
    <tableColumn id="13" name="Planned Min"/>
    <tableColumn id="14" name="Publishing"/>
    <tableColumn id="15" name="Monetization action"/>
    <tableColumn id="16" name="Exit criteria"/>
    <tableColumn id="17" name="Status"/>
  </tableColumns>
  <tableStyleInfo name="TableStyleMedium4" showFirstColumn="0" showLastColumn="0" showRowStripes="1" showColumnStripes="0"/>
</table>
</file>

<file path=xl/tables/table2.xml><?xml version="1.0" encoding="utf-8"?>
<table xmlns="http://schemas.openxmlformats.org/spreadsheetml/2006/main" id="2" name="TaskTable" displayName="TaskTable" ref="B7:M67" headerRowCount="1">
  <autoFilter ref="B7:M67"/>
  <tableColumns count="12">
    <tableColumn id="2" name="ID"/>
    <tableColumn id="3" name="Priority"/>
    <tableColumn id="4" name="Workstream"/>
    <tableColumn id="5" name="Task"/>
    <tableColumn id="6" name="Deliverable / definition of done"/>
    <tableColumn id="7" name="Est Min"/>
    <tableColumn id="8" name="Due Week"/>
    <tableColumn id="9" name="Dependency"/>
    <tableColumn id="10" name="Cash Impact"/>
    <tableColumn id="11" name="Status"/>
    <tableColumn id="12" name="Owner"/>
    <tableColumn id="13" name="Notes / source"/>
  </tableColumns>
  <tableStyleInfo name="TableStyleMedium4" showFirstColumn="0" showLastColumn="0" showRowStripes="1" showColumnStripes="0"/>
</table>
</file>

<file path=xl/tables/table3.xml><?xml version="1.0" encoding="utf-8"?>
<table xmlns="http://schemas.openxmlformats.org/spreadsheetml/2006/main" id="3" name="ContentTable" displayName="ContentTable" ref="B7:M33" headerRowCount="1">
  <autoFilter ref="B7:M33"/>
  <tableColumns count="12">
    <tableColumn id="2" name="ID"/>
    <tableColumn id="3" name="Week"/>
    <tableColumn id="4" name="Pillar"/>
    <tableColumn id="5" name="Format"/>
    <tableColumn id="6" name="Hook / first slide"/>
    <tableColumn id="7" name="X Post A"/>
    <tableColumn id="8" name="X Post B"/>
    <tableColumn id="9" name="Instagram carousel outline"/>
    <tableColumn id="10" name="CTA"/>
    <tableColumn id="11" name="Offer Link"/>
    <tableColumn id="12" name="Status"/>
    <tableColumn id="13" name="Result note"/>
  </tableColumns>
  <tableStyleInfo name="TableStyleMedium4" showFirstColumn="0" showLastColumn="0" showRowStripes="1" showColumnStripes="0"/>
</table>
</file>

<file path=xl/tables/table4.xml><?xml version="1.0" encoding="utf-8"?>
<table xmlns="http://schemas.openxmlformats.org/spreadsheetml/2006/main" id="4" name="PaymentsTable" displayName="PaymentsTable" ref="B43:G47" headerRowCount="1">
  <autoFilter ref="B43:G47"/>
  <tableColumns count="6">
    <tableColumn id="2" name="Option"/>
    <tableColumn id="3" name="Best use now"/>
    <tableColumn id="4" name="Cost / payout facts"/>
    <tableColumn id="5" name="Tax handling"/>
    <tableColumn id="6" name="India constraint"/>
    <tableColumn id="7" name="Decision"/>
  </tableColumns>
  <tableStyleInfo name="TableStyleMedium4" showFirstColumn="0" showLastColumn="0" showRowStripes="1" showColumnStripes="0"/>
</table>
</file>

<file path=xl/tables/table5.xml><?xml version="1.0" encoding="utf-8"?>
<table xmlns="http://schemas.openxmlformats.org/spreadsheetml/2006/main" id="5" name="MetricsTable" displayName="MetricsTable" ref="B15:V28" headerRowCount="1">
  <autoFilter ref="B15:V28"/>
  <tableColumns count="21">
    <tableColumn id="2" name="Week"/>
    <tableColumn id="3" name="Start"/>
    <tableColumn id="4" name="X Impressions"/>
    <tableColumn id="5" name="X Followers End"/>
    <tableColumn id="6" name="IG Reach"/>
    <tableColumn id="7" name="IG Followers End"/>
    <tableColumn id="8" name="Profile Visits"/>
    <tableColumn id="9" name="Link Clicks"/>
    <tableColumn id="10" name="New Leads"/>
    <tableColumn id="11" name="Checkout Visits"/>
    <tableColumn id="12" name="Orders"/>
    <tableColumn id="13" name="AOV"/>
    <tableColumn id="14" name="Gross Revenue"/>
    <tableColumn id="15" name="Refunds $"/>
    <tableColumn id="16" name="Ad Spend"/>
    <tableColumn id="17" name="Affiliate Payout"/>
    <tableColumn id="18" name="Est Fees"/>
    <tableColumn id="19" name="Est Net Revenue"/>
    <tableColumn id="20" name="Link CTR"/>
    <tableColumn id="21" name="Opt-in CVR"/>
    <tableColumn id="22" name="Sales CVR"/>
  </tableColumns>
  <tableStyleInfo name="TableStyleMedium4" showFirstColumn="0" showLastColumn="0" showRowStripes="1" showColumnStripes="0"/>
</table>
</file>

<file path=xl/tables/table6.xml><?xml version="1.0" encoding="utf-8"?>
<table xmlns="http://schemas.openxmlformats.org/spreadsheetml/2006/main" id="6" name="AnnualTargetTable" displayName="AnnualTargetTable" ref="B32:J44" headerRowCount="1">
  <autoFilter ref="B32:J44"/>
  <tableColumns count="9">
    <tableColumn id="2" name="Month"/>
    <tableColumn id="3" name="Revenue Weight"/>
    <tableColumn id="4" name="Gross Target"/>
    <tableColumn id="5" name="Planning AOV"/>
    <tableColumn id="6" name="Orders Needed"/>
    <tableColumn id="7" name="Primary engine"/>
    <tableColumn id="8" name="Evidence gate"/>
    <tableColumn id="9" name="Actual Gross"/>
    <tableColumn id="10" name="Variance"/>
  </tableColumns>
  <tableStyleInfo name="TableStyleMedium4" showFirstColumn="0" showLastColumn="0" showRowStripes="1" showColumnStripes="0"/>
</table>
</file>

<file path=xl/tables/table7.xml><?xml version="1.0" encoding="utf-8"?>
<table xmlns="http://schemas.openxmlformats.org/spreadsheetml/2006/main" id="7" name="SourcesTable" displayName="SourcesTable" ref="B7:G26" headerRowCount="1">
  <autoFilter ref="B7:G26"/>
  <tableColumns count="6">
    <tableColumn id="2" name="#"/>
    <tableColumn id="3" name="Topic"/>
    <tableColumn id="4" name="Source"/>
    <tableColumn id="5" name="URL"/>
    <tableColumn id="6" name="How this plan uses it"/>
    <tableColumn id="7" name="Checked"/>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https://gumroad.com/help/article/66-gumroads-fees" TargetMode="External" Id="rId1"/><Relationship Type="http://schemas.openxmlformats.org/officeDocument/2006/relationships/hyperlink" Target="https://gumroad.com/help/article/13-getting-paid" TargetMode="External" Id="rId2"/><Relationship Type="http://schemas.openxmlformats.org/officeDocument/2006/relationships/hyperlink" Target="https://gumroad.com/help/article/121-sales-tax-on-gumroad" TargetMode="External" Id="rId3"/><Relationship Type="http://schemas.openxmlformats.org/officeDocument/2006/relationships/hyperlink" Target="https://gumroad.com/help/article/352-supporting-your-customers" TargetMode="External" Id="rId4"/><Relationship Type="http://schemas.openxmlformats.org/officeDocument/2006/relationships/hyperlink" Target="https://docs.lemonsqueezy.com/help/getting-started/fees" TargetMode="External" Id="rId5"/><Relationship Type="http://schemas.openxmlformats.org/officeDocument/2006/relationships/hyperlink" Target="https://docs.lemonsqueezy.com/help/getting-started/getting-paid" TargetMode="External" Id="rId6"/><Relationship Type="http://schemas.openxmlformats.org/officeDocument/2006/relationships/hyperlink" Target="https://docs.lemonsqueezy.com/help/getting-started/supported-countries" TargetMode="External" Id="rId7"/><Relationship Type="http://schemas.openxmlformats.org/officeDocument/2006/relationships/hyperlink" Target="https://stripe.com/in/contact/sales" TargetMode="External" Id="rId8"/><Relationship Type="http://schemas.openxmlformats.org/officeDocument/2006/relationships/hyperlink" Target="https://payhip.com/pricing" TargetMode="External" Id="rId9"/><Relationship Type="http://schemas.openxmlformats.org/officeDocument/2006/relationships/hyperlink" Target="https://help.payhip.com/article/368-connect-your-razorpay-account" TargetMode="External" Id="rId10"/><Relationship Type="http://schemas.openxmlformats.org/officeDocument/2006/relationships/hyperlink" Target="https://razorpay.com/docs/payments/international-payments/" TargetMode="External" Id="rId11"/><Relationship Type="http://schemas.openxmlformats.org/officeDocument/2006/relationships/hyperlink" Target="https://razorpay.com/docs/payments/settlements/faqs" TargetMode="External" Id="rId12"/><Relationship Type="http://schemas.openxmlformats.org/officeDocument/2006/relationships/hyperlink" Target="https://help.instagram.com/788388387972460/" TargetMode="External" Id="rId13"/><Relationship Type="http://schemas.openxmlformats.org/officeDocument/2006/relationships/hyperlink" Target="https://business.instagram.com/instagram-post-tips/" TargetMode="External" Id="rId14"/><Relationship Type="http://schemas.openxmlformats.org/officeDocument/2006/relationships/hyperlink" Target="https://business.instagram.com/blog/instagram-feed-recommendations-changes-announcement?locale=en_GB" TargetMode="External" Id="rId15"/><Relationship Type="http://schemas.openxmlformats.org/officeDocument/2006/relationships/hyperlink" Target="https://help.kit.com/en/articles/16627071-the-kit-free-plan" TargetMode="External" Id="rId16"/><Relationship Type="http://schemas.openxmlformats.org/officeDocument/2006/relationships/hyperlink" Target="https://tutorial.gst.gov.in/userguide/refund/Furnishing_of_Letter_of_Undertaking_for_Export_of_Goods_or_Services.htm" TargetMode="External" Id="rId17"/><Relationship Type="http://schemas.openxmlformats.org/officeDocument/2006/relationships/hyperlink" Target="https://cbic-gst.gov.in/hindi/sectoral-faq.html?ld=SDINSOADirect" TargetMode="External" Id="rId18"/><Relationship Type="http://schemas.openxmlformats.org/officeDocument/2006/relationships/hyperlink" Target="https://www.dgft.gov.in/CP/?opt=iec-profile-management" TargetMode="External" Id="rId19"/><Relationship Type="http://schemas.openxmlformats.org/officeDocument/2006/relationships/table" Target="/xl/tables/table7.xml" Id="rId20"/></Relationships>
</file>

<file path=xl/worksheets/sheet1.xml><?xml version="1.0" encoding="utf-8"?>
<worksheet xmlns="http://schemas.openxmlformats.org/spreadsheetml/2006/main">
  <sheetPr>
    <outlinePr summaryBelow="1" summaryRight="1"/>
    <pageSetUpPr fitToPage="1"/>
  </sheetPr>
  <dimension ref="A1:M44"/>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row r="2" ht="34" customHeight="1">
      <c r="B2" s="1" t="inlineStr">
        <is>
          <t>1C2R REVENUE COMMAND CENTER</t>
        </is>
      </c>
    </row>
    <row r="3" ht="24" customHeight="1">
      <c r="B3" s="2" t="inlineStr">
        <is>
          <t>90-day operating system | 4 hours/week | Start: 25 Sep 2026 | First paid offer: Money + Muscle Starter Bundle</t>
        </is>
      </c>
    </row>
    <row r="4"/>
    <row r="5">
      <c r="B5" s="3" t="inlineStr">
        <is>
          <t>Command Center</t>
        </is>
      </c>
      <c r="C5" s="3" t="inlineStr">
        <is>
          <t>90-Day Sprints</t>
        </is>
      </c>
      <c r="D5" s="3" t="inlineStr">
        <is>
          <t>Task Backlog</t>
        </is>
      </c>
      <c r="E5" s="3" t="inlineStr">
        <is>
          <t>Content Queue</t>
        </is>
      </c>
      <c r="F5" s="3" t="inlineStr">
        <is>
          <t>Product &amp; Funnel</t>
        </is>
      </c>
      <c r="G5" s="3" t="inlineStr">
        <is>
          <t>Metrics</t>
        </is>
      </c>
      <c r="H5" s="3" t="inlineStr">
        <is>
          <t>Sources</t>
        </is>
      </c>
    </row>
    <row r="6"/>
    <row r="7" ht="24" customHeight="1">
      <c r="B7" s="4" t="inlineStr">
        <is>
          <t>THE ONE PLAN</t>
        </is>
      </c>
    </row>
    <row r="8" ht="30" customHeight="1">
      <c r="B8" s="5" t="inlineStr">
        <is>
          <t>Primary outcome</t>
        </is>
      </c>
      <c r="C8" s="6" t="inlineStr">
        <is>
          <t>Publish and sell the first version by Week 4; use Weeks 5–13 to acquire buyers and improve conversion.</t>
        </is>
      </c>
    </row>
    <row r="9" ht="30" customHeight="1">
      <c r="B9" s="5" t="inlineStr">
        <is>
          <t>Offer</t>
        </is>
      </c>
      <c r="C9" s="6" t="inlineStr">
        <is>
          <t>The Double Compounding Starter System: 30-day action plan + Money/Muscle dashboard + weekly review cards.</t>
        </is>
      </c>
    </row>
    <row r="10" ht="30" customHeight="1">
      <c r="B10" s="5" t="inlineStr">
        <is>
          <t>Price</t>
        </is>
      </c>
      <c r="C10" s="6" t="inlineStr">
        <is>
          <t>$15 founding price for first 25 buyers; then $19. Add a $27 bundle only after 10 verified sales.</t>
        </is>
      </c>
    </row>
    <row r="11" ht="30" customHeight="1">
      <c r="B11" s="5" t="inlineStr">
        <is>
          <t>Audience</t>
        </is>
      </c>
      <c r="C11" s="6" t="inlineStr">
        <is>
          <t>Indians and NRIs, age 30–50, who want a practical weekly system for money and strength without guru theatre.</t>
        </is>
      </c>
    </row>
    <row r="12" ht="30" customHeight="1">
      <c r="B12" s="5" t="inlineStr">
        <is>
          <t>Cadence</t>
        </is>
      </c>
      <c r="C12" s="6" t="inlineStr">
        <is>
          <t>Two core ideas/week. Each becomes 1 Instagram carousel + 2 X posts = 2 IG + 4 X posts/week.</t>
        </is>
      </c>
    </row>
    <row r="13" ht="30" customHeight="1">
      <c r="B13" s="5" t="inlineStr">
        <is>
          <t>Checkout</t>
        </is>
      </c>
      <c r="C13" s="6" t="inlineStr">
        <is>
          <t>Start with Gumroad for speed and merchant-of-record simplicity; apply to Lemon Squeezy in parallel; reassess after 10 sales.</t>
        </is>
      </c>
    </row>
    <row r="14" ht="30" customHeight="1">
      <c r="B14" s="5" t="inlineStr">
        <is>
          <t>Lead magnet</t>
        </is>
      </c>
      <c r="C14" s="6" t="inlineStr">
        <is>
          <t>Free 7-Day Money + Muscle Reset scorecard. Every profile and content CTA points to one link.</t>
        </is>
      </c>
    </row>
    <row r="15" ht="30" customHeight="1">
      <c r="B15" s="5" t="inlineStr">
        <is>
          <t>Rule</t>
        </is>
      </c>
      <c r="C15" s="6" t="inlineStr">
        <is>
          <t>Do not build a second product until the first has 10 sales, 5 buyer replies, and a conversion baseline.</t>
        </is>
      </c>
    </row>
    <row r="16"/>
    <row r="17" ht="24" customHeight="1">
      <c r="B17" s="4" t="inlineStr">
        <is>
          <t>LIVE SCOREBOARD</t>
        </is>
      </c>
    </row>
    <row r="18">
      <c r="B18" s="7" t="inlineStr">
        <is>
          <t>Task completion</t>
        </is>
      </c>
      <c r="D18" s="7" t="inlineStr">
        <is>
          <t>Planned hours</t>
        </is>
      </c>
      <c r="F18" s="7" t="inlineStr">
        <is>
          <t>90-day capacity</t>
        </is>
      </c>
      <c r="H18" s="7" t="inlineStr">
        <is>
          <t>Weeks logged</t>
        </is>
      </c>
      <c r="J18" s="7" t="inlineStr">
        <is>
          <t>Orders</t>
        </is>
      </c>
    </row>
    <row r="19">
      <c r="B19" s="8">
        <f>IFERROR(COUNTIF(TaskTable[Status],"Done")/COUNTA(TaskTable[Task]),0)</f>
        <v/>
      </c>
      <c r="D19" s="9">
        <f>SUM(TaskTable[Est Min])/60</f>
        <v/>
      </c>
      <c r="F19" s="9" t="n">
        <v>52</v>
      </c>
      <c r="H19" s="10">
        <f>COUNT(MetricsTable[Orders])</f>
        <v/>
      </c>
      <c r="J19" s="10">
        <f>SUM(MetricsTable[Orders])</f>
        <v/>
      </c>
    </row>
    <row r="20"/>
    <row r="21">
      <c r="B21" s="7" t="inlineStr">
        <is>
          <t>Gross revenue</t>
        </is>
      </c>
      <c r="D21" s="7" t="inlineStr">
        <is>
          <t>Estimated net revenue</t>
        </is>
      </c>
      <c r="F21" s="7" t="inlineStr">
        <is>
          <t>Email leads</t>
        </is>
      </c>
      <c r="H21" s="7" t="inlineStr">
        <is>
          <t>First-sale deadline</t>
        </is>
      </c>
      <c r="J21" s="7" t="inlineStr">
        <is>
          <t>Annual stretch goal</t>
        </is>
      </c>
    </row>
    <row r="22">
      <c r="B22" s="11">
        <f>SUM(MetricsTable[Gross Revenue])</f>
        <v/>
      </c>
      <c r="D22" s="11">
        <f>SUM(MetricsTable[Est Net Revenue])</f>
        <v/>
      </c>
      <c r="F22" s="10">
        <f>SUM(MetricsTable[New Leads])</f>
        <v/>
      </c>
      <c r="H22" s="12" t="n">
        <v>46317</v>
      </c>
      <c r="J22" s="13" t="n">
        <v>100000</v>
      </c>
    </row>
    <row r="23"/>
    <row r="24" ht="24" customHeight="1">
      <c r="B24" s="4" t="inlineStr">
        <is>
          <t>NON-NEGOTIABLE WEEKLY 4-HOUR BLOCK</t>
        </is>
      </c>
    </row>
    <row r="25">
      <c r="B25" s="14" t="inlineStr">
        <is>
          <t>•</t>
        </is>
      </c>
      <c r="C25" s="15" t="inlineStr">
        <is>
          <t>Research + select 2 ideas</t>
        </is>
      </c>
      <c r="K25" s="16" t="inlineStr">
        <is>
          <t>30 min</t>
        </is>
      </c>
    </row>
    <row r="26">
      <c r="B26" s="14" t="inlineStr">
        <is>
          <t>•</t>
        </is>
      </c>
      <c r="C26" s="15" t="inlineStr">
        <is>
          <t>Create 2 IG carousels + 4 X posts</t>
        </is>
      </c>
      <c r="K26" s="16" t="inlineStr">
        <is>
          <t>90 min</t>
        </is>
      </c>
    </row>
    <row r="27">
      <c r="B27" s="14" t="inlineStr">
        <is>
          <t>•</t>
        </is>
      </c>
      <c r="C27" s="15" t="inlineStr">
        <is>
          <t>Schedule + QA links</t>
        </is>
      </c>
      <c r="K27" s="16" t="inlineStr">
        <is>
          <t>20 min</t>
        </is>
      </c>
    </row>
    <row r="28">
      <c r="B28" s="14" t="inlineStr">
        <is>
          <t>•</t>
        </is>
      </c>
      <c r="C28" s="15" t="inlineStr">
        <is>
          <t>Focused replies + 5 partner/customer messages</t>
        </is>
      </c>
      <c r="K28" s="16" t="inlineStr">
        <is>
          <t>30 min</t>
        </is>
      </c>
    </row>
    <row r="29">
      <c r="B29" s="14" t="inlineStr">
        <is>
          <t>•</t>
        </is>
      </c>
      <c r="C29" s="15" t="inlineStr">
        <is>
          <t>Improve product, page, or lead magnet</t>
        </is>
      </c>
      <c r="K29" s="16" t="inlineStr">
        <is>
          <t>50 min</t>
        </is>
      </c>
    </row>
    <row r="30">
      <c r="B30" s="14" t="inlineStr">
        <is>
          <t>•</t>
        </is>
      </c>
      <c r="C30" s="15" t="inlineStr">
        <is>
          <t>Review metrics + customer support</t>
        </is>
      </c>
      <c r="K30" s="16" t="inlineStr">
        <is>
          <t>20 min</t>
        </is>
      </c>
    </row>
    <row r="31"/>
    <row r="32" ht="24" customHeight="1">
      <c r="B32" s="4" t="inlineStr">
        <is>
          <t>DECISION GATES</t>
        </is>
      </c>
    </row>
    <row r="33" ht="28" customHeight="1">
      <c r="B33" s="17" t="inlineStr">
        <is>
          <t>Gate 1 · Ship</t>
        </is>
      </c>
      <c r="C33" s="18" t="inlineStr">
        <is>
          <t>Checkout tested + product delivered + policy/support email visible. Do this before chasing followers.</t>
        </is>
      </c>
    </row>
    <row r="34" ht="28" customHeight="1">
      <c r="B34" s="17" t="inlineStr">
        <is>
          <t>Gate 2 · Validate</t>
        </is>
      </c>
      <c r="C34" s="18" t="inlineStr">
        <is>
          <t>10 paid orders + 5 buyer replies. Until then, improve promise and proof, not product breadth.</t>
        </is>
      </c>
    </row>
    <row r="35" ht="28" customHeight="1">
      <c r="B35" s="17" t="inlineStr">
        <is>
          <t>Gate 3 · Paid test</t>
        </is>
      </c>
      <c r="C35" s="18" t="inlineStr">
        <is>
          <t>Only boost a post or run ads after one organic post generates link clicks and the page converts at least 3 sales.</t>
        </is>
      </c>
    </row>
    <row r="36" ht="28" customHeight="1">
      <c r="B36" s="17" t="inlineStr">
        <is>
          <t>Gate 4 · Scale</t>
        </is>
      </c>
      <c r="C36" s="18" t="inlineStr">
        <is>
          <t>At 25 sales, recruit affiliates/collabs. At 50 sales, build the $27 bundle. At 100 sales, consider a second product.</t>
        </is>
      </c>
    </row>
    <row r="37" ht="28" customHeight="1">
      <c r="B37" s="17" t="inlineStr">
        <is>
          <t>Gate 5 · Tax/records</t>
        </is>
      </c>
      <c r="C37" s="18" t="inlineStr">
        <is>
          <t>Before first payout, book a short India CA check on GST/export classification and keep payout invoices/FIRC-like records.</t>
        </is>
      </c>
    </row>
    <row r="38"/>
    <row r="39" ht="24" customHeight="1">
      <c r="B39" s="4" t="inlineStr">
        <is>
          <t>THIS WEEK: START HERE</t>
        </is>
      </c>
    </row>
    <row r="40" ht="28" customHeight="1">
      <c r="B40" s="18" t="inlineStr">
        <is>
          <t>1. Open Gumroad and complete identity/bank verification; create a $1 hidden test product and complete a purchase/refund test.</t>
        </is>
      </c>
    </row>
    <row r="41" ht="28" customHeight="1">
      <c r="B41" s="18" t="inlineStr">
        <is>
          <t>2. Paste the approved offer copy from Product &amp; Funnel into the product page; set launch date to 22 Oct 2026.</t>
        </is>
      </c>
    </row>
    <row r="42" ht="28" customHeight="1">
      <c r="B42" s="18" t="inlineStr">
        <is>
          <t>3. Create the free 7-Day Reset scorecard and connect it to a Kit landing page.</t>
        </is>
      </c>
    </row>
    <row r="43" ht="28" customHeight="1">
      <c r="B43" s="18" t="inlineStr">
        <is>
          <t>4. Publish Content Queue items C01 and C02; invite 10 target people to reply with their biggest money + fitness consistency problem.</t>
        </is>
      </c>
    </row>
    <row r="44" ht="28" customHeight="1">
      <c r="B44" s="18" t="inlineStr">
        <is>
          <t>5. Block one recurring 4-hour slot on your calendar. The business does not exist outside that block until revenue earns more time.</t>
        </is>
      </c>
    </row>
  </sheetData>
  <mergeCells count="57">
    <mergeCell ref="B2:M2"/>
    <mergeCell ref="C34:M34"/>
    <mergeCell ref="C30:J30"/>
    <mergeCell ref="B42:M42"/>
    <mergeCell ref="D19:E19"/>
    <mergeCell ref="C37:M37"/>
    <mergeCell ref="F19:G19"/>
    <mergeCell ref="C15:M15"/>
    <mergeCell ref="C33:M33"/>
    <mergeCell ref="J19:K19"/>
    <mergeCell ref="B22:C22"/>
    <mergeCell ref="B17:M17"/>
    <mergeCell ref="D22:E22"/>
    <mergeCell ref="C14:M14"/>
    <mergeCell ref="B18:C18"/>
    <mergeCell ref="B44:M44"/>
    <mergeCell ref="D21:E21"/>
    <mergeCell ref="F21:G21"/>
    <mergeCell ref="C26:J26"/>
    <mergeCell ref="B21:C21"/>
    <mergeCell ref="H21:I21"/>
    <mergeCell ref="C35:M35"/>
    <mergeCell ref="C29:J29"/>
    <mergeCell ref="K27:M27"/>
    <mergeCell ref="C25:J25"/>
    <mergeCell ref="F18:G18"/>
    <mergeCell ref="C10:M10"/>
    <mergeCell ref="B40:M40"/>
    <mergeCell ref="C9:M9"/>
    <mergeCell ref="B24:M24"/>
    <mergeCell ref="C12:M12"/>
    <mergeCell ref="K28:M28"/>
    <mergeCell ref="B19:C19"/>
    <mergeCell ref="C11:M11"/>
    <mergeCell ref="B32:M32"/>
    <mergeCell ref="H19:I19"/>
    <mergeCell ref="F22:G22"/>
    <mergeCell ref="C27:J27"/>
    <mergeCell ref="C36:M36"/>
    <mergeCell ref="D18:E18"/>
    <mergeCell ref="H22:I22"/>
    <mergeCell ref="J22:K22"/>
    <mergeCell ref="B41:M41"/>
    <mergeCell ref="K30:M30"/>
    <mergeCell ref="K25:M25"/>
    <mergeCell ref="C8:M8"/>
    <mergeCell ref="J21:K21"/>
    <mergeCell ref="B7:M7"/>
    <mergeCell ref="B3:M3"/>
    <mergeCell ref="H18:I18"/>
    <mergeCell ref="J18:K18"/>
    <mergeCell ref="C28:J28"/>
    <mergeCell ref="K26:M26"/>
    <mergeCell ref="C13:M13"/>
    <mergeCell ref="K29:M29"/>
    <mergeCell ref="B43:M43"/>
    <mergeCell ref="B39:M39"/>
  </mergeCells>
  <hyperlinks>
    <hyperlink ref="B5" location="'Command Center'!B2"/>
    <hyperlink ref="C5" location="'90-Day Sprints'!B2"/>
    <hyperlink ref="D5" location="'Task Backlog'!B2"/>
    <hyperlink ref="E5" location="'Content Queue'!B2"/>
    <hyperlink ref="F5" location="'Product &amp; Funnel'!B2"/>
    <hyperlink ref="G5" location="'Metrics'!B2"/>
    <hyperlink ref="H5" location="'Sources'!B2"/>
  </hyperlinks>
  <pageMargins left="0.25" right="0.25" top="0.5" bottom="0.5" header="0.5" footer="0.5"/>
  <pageSetup fitToHeight="0" fitToWidth="1"/>
  <headerFooter>
    <oddHeader/>
    <oddFooter>&amp;C1CRORE2REPS  |  Financial muscle for Indians everywhere.&amp;RPage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Q20"/>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17" customWidth="1" min="3" max="3"/>
    <col width="24" customWidth="1" min="4" max="4"/>
    <col width="30" customWidth="1" min="5" max="5"/>
    <col width="8" customWidth="1" min="6" max="6"/>
    <col width="30" customWidth="1" min="7" max="7"/>
    <col width="8" customWidth="1" min="8" max="8"/>
    <col width="30" customWidth="1" min="9" max="9"/>
    <col width="8" customWidth="1" min="10" max="10"/>
    <col width="30" customWidth="1" min="11" max="11"/>
    <col width="8" customWidth="1" min="12" max="12"/>
    <col width="12" customWidth="1" min="13" max="13"/>
    <col width="20" customWidth="1" min="14" max="14"/>
    <col width="26" customWidth="1" min="15" max="15"/>
    <col width="30" customWidth="1" min="16" max="16"/>
    <col width="14" customWidth="1" min="17" max="17"/>
  </cols>
  <sheetData>
    <row r="1"/>
    <row r="2" ht="34" customHeight="1">
      <c r="B2" s="1" t="inlineStr">
        <is>
          <t>90-DAY SPRINTS</t>
        </is>
      </c>
    </row>
    <row r="3" ht="24" customHeight="1">
      <c r="B3" s="2" t="inlineStr">
        <is>
          <t>Every week is capped at 240 minutes. If something slips, cut scope; do not add hours.</t>
        </is>
      </c>
    </row>
    <row r="4"/>
    <row r="5">
      <c r="B5" s="3" t="inlineStr">
        <is>
          <t>Command Center</t>
        </is>
      </c>
      <c r="C5" s="3" t="inlineStr">
        <is>
          <t>90-Day Sprints</t>
        </is>
      </c>
      <c r="D5" s="3" t="inlineStr">
        <is>
          <t>Task Backlog</t>
        </is>
      </c>
      <c r="E5" s="3" t="inlineStr">
        <is>
          <t>Content Queue</t>
        </is>
      </c>
      <c r="F5" s="3" t="inlineStr">
        <is>
          <t>Product &amp; Funnel</t>
        </is>
      </c>
      <c r="G5" s="3" t="inlineStr">
        <is>
          <t>Metrics</t>
        </is>
      </c>
      <c r="H5" s="3" t="inlineStr">
        <is>
          <t>Sources</t>
        </is>
      </c>
    </row>
    <row r="6"/>
    <row r="7">
      <c r="B7" s="19" t="inlineStr">
        <is>
          <t>Week</t>
        </is>
      </c>
      <c r="C7" s="19" t="inlineStr">
        <is>
          <t>Dates</t>
        </is>
      </c>
      <c r="D7" s="19" t="inlineStr">
        <is>
          <t>Outcome</t>
        </is>
      </c>
      <c r="E7" s="19" t="inlineStr">
        <is>
          <t>Block 1</t>
        </is>
      </c>
      <c r="F7" s="19" t="inlineStr">
        <is>
          <t>Min</t>
        </is>
      </c>
      <c r="G7" s="19" t="inlineStr">
        <is>
          <t>Block 2</t>
        </is>
      </c>
      <c r="H7" s="19" t="inlineStr">
        <is>
          <t>Min</t>
        </is>
      </c>
      <c r="I7" s="19" t="inlineStr">
        <is>
          <t>Block 3</t>
        </is>
      </c>
      <c r="J7" s="19" t="inlineStr">
        <is>
          <t>Min</t>
        </is>
      </c>
      <c r="K7" s="19" t="inlineStr">
        <is>
          <t>Block 4</t>
        </is>
      </c>
      <c r="L7" s="19" t="inlineStr">
        <is>
          <t>Min</t>
        </is>
      </c>
      <c r="M7" s="19" t="inlineStr">
        <is>
          <t>Planned Min</t>
        </is>
      </c>
      <c r="N7" s="19" t="inlineStr">
        <is>
          <t>Publishing</t>
        </is>
      </c>
      <c r="O7" s="19" t="inlineStr">
        <is>
          <t>Monetization action</t>
        </is>
      </c>
      <c r="P7" s="19" t="inlineStr">
        <is>
          <t>Exit criteria</t>
        </is>
      </c>
      <c r="Q7" s="19" t="inlineStr">
        <is>
          <t>Status</t>
        </is>
      </c>
    </row>
    <row r="8" ht="76" customHeight="1">
      <c r="B8" s="19" t="n">
        <v>1</v>
      </c>
      <c r="C8" s="19" t="inlineStr">
        <is>
          <t>25 Sep–01 Oct</t>
        </is>
      </c>
      <c r="D8" s="19" t="inlineStr">
        <is>
          <t>Payment-ready store</t>
        </is>
      </c>
      <c r="E8" s="19" t="inlineStr">
        <is>
          <t>Open/verify Gumroad; hidden $1 test</t>
        </is>
      </c>
      <c r="F8" s="20" t="n">
        <v>70</v>
      </c>
      <c r="G8" s="19" t="inlineStr">
        <is>
          <t>Lock offer + founding price</t>
        </is>
      </c>
      <c r="H8" s="20" t="n">
        <v>55</v>
      </c>
      <c r="I8" s="19" t="inlineStr">
        <is>
          <t>Draft landing page copy</t>
        </is>
      </c>
      <c r="J8" s="20" t="n">
        <v>55</v>
      </c>
      <c r="K8" s="19" t="inlineStr">
        <is>
          <t>Publish C01/C02 + replies</t>
        </is>
      </c>
      <c r="L8" s="20" t="n">
        <v>60</v>
      </c>
      <c r="M8" s="21">
        <f>SUM(F8,H8,J8,L8)</f>
        <v/>
      </c>
      <c r="N8" s="19" t="inlineStr">
        <is>
          <t>C01–C02</t>
        </is>
      </c>
      <c r="O8" s="19" t="inlineStr">
        <is>
          <t>Ask 10 target people one pain question</t>
        </is>
      </c>
      <c r="P8" s="19" t="inlineStr">
        <is>
          <t>Test purchase delivers file; refund path works</t>
        </is>
      </c>
      <c r="Q8" s="19" t="inlineStr">
        <is>
          <t>Not started</t>
        </is>
      </c>
    </row>
    <row r="9" ht="76" customHeight="1">
      <c r="B9" s="19" t="n">
        <v>2</v>
      </c>
      <c r="C9" s="19" t="inlineStr">
        <is>
          <t>02 Oct–08 Oct</t>
        </is>
      </c>
      <c r="D9" s="19" t="inlineStr">
        <is>
          <t>Validated product skeleton</t>
        </is>
      </c>
      <c r="E9" s="19" t="inlineStr">
        <is>
          <t>Review replies; extract phrases</t>
        </is>
      </c>
      <c r="F9" s="20" t="n">
        <v>35</v>
      </c>
      <c r="G9" s="19" t="inlineStr">
        <is>
          <t>Build product outline + sample</t>
        </is>
      </c>
      <c r="H9" s="20" t="n">
        <v>75</v>
      </c>
      <c r="I9" s="19" t="inlineStr">
        <is>
          <t>Create free scorecard + Kit page</t>
        </is>
      </c>
      <c r="J9" s="20" t="n">
        <v>70</v>
      </c>
      <c r="K9" s="19" t="inlineStr">
        <is>
          <t>Publish C03/C04 + outreach</t>
        </is>
      </c>
      <c r="L9" s="20" t="n">
        <v>60</v>
      </c>
      <c r="M9" s="21">
        <f>SUM(F9,H9,J9,L9)</f>
        <v/>
      </c>
      <c r="N9" s="19" t="inlineStr">
        <is>
          <t>C03–C04</t>
        </is>
      </c>
      <c r="O9" s="19" t="inlineStr">
        <is>
          <t>Invite 5 beta readers</t>
        </is>
      </c>
      <c r="P9" s="19" t="inlineStr">
        <is>
          <t>5 responses or beta commitments</t>
        </is>
      </c>
      <c r="Q9" s="19" t="inlineStr">
        <is>
          <t>Not started</t>
        </is>
      </c>
    </row>
    <row r="10" ht="76" customHeight="1">
      <c r="B10" s="19" t="n">
        <v>3</v>
      </c>
      <c r="C10" s="19" t="inlineStr">
        <is>
          <t>09 Oct–15 Oct</t>
        </is>
      </c>
      <c r="D10" s="19" t="inlineStr">
        <is>
          <t>MVP built</t>
        </is>
      </c>
      <c r="E10" s="19" t="inlineStr">
        <is>
          <t>Build 30-day action pages</t>
        </is>
      </c>
      <c r="F10" s="20" t="n">
        <v>100</v>
      </c>
      <c r="G10" s="19" t="inlineStr">
        <is>
          <t>Build dashboard/tracker</t>
        </is>
      </c>
      <c r="H10" s="20" t="n">
        <v>45</v>
      </c>
      <c r="I10" s="19" t="inlineStr">
        <is>
          <t>Draft quickstart + rescue card</t>
        </is>
      </c>
      <c r="J10" s="20" t="n">
        <v>35</v>
      </c>
      <c r="K10" s="19" t="inlineStr">
        <is>
          <t>Publish C05/C06 + replies</t>
        </is>
      </c>
      <c r="L10" s="20" t="n">
        <v>60</v>
      </c>
      <c r="M10" s="21">
        <f>SUM(F10,H10,J10,L10)</f>
        <v/>
      </c>
      <c r="N10" s="19" t="inlineStr">
        <is>
          <t>C05–C06</t>
        </is>
      </c>
      <c r="O10" s="19" t="inlineStr">
        <is>
          <t>Share 3 preview screenshots</t>
        </is>
      </c>
      <c r="P10" s="19" t="inlineStr">
        <is>
          <t>Complete first usable draft</t>
        </is>
      </c>
      <c r="Q10" s="19" t="inlineStr">
        <is>
          <t>Not started</t>
        </is>
      </c>
    </row>
    <row r="11" ht="76" customHeight="1">
      <c r="B11" s="19" t="n">
        <v>4</v>
      </c>
      <c r="C11" s="19" t="inlineStr">
        <is>
          <t>16 Oct–22 Oct</t>
        </is>
      </c>
      <c r="D11" s="19" t="inlineStr">
        <is>
          <t>Product live</t>
        </is>
      </c>
      <c r="E11" s="19" t="inlineStr">
        <is>
          <t>Edit, safety pass, proofread</t>
        </is>
      </c>
      <c r="F11" s="20" t="n">
        <v>70</v>
      </c>
      <c r="G11" s="19" t="inlineStr">
        <is>
          <t>Design/export product files</t>
        </is>
      </c>
      <c r="H11" s="20" t="n">
        <v>55</v>
      </c>
      <c r="I11" s="19" t="inlineStr">
        <is>
          <t>Upload + checkout/email QA</t>
        </is>
      </c>
      <c r="J11" s="20" t="n">
        <v>45</v>
      </c>
      <c r="K11" s="19" t="inlineStr">
        <is>
          <t>Publish C07/C08 + soft launch</t>
        </is>
      </c>
      <c r="L11" s="20" t="n">
        <v>70</v>
      </c>
      <c r="M11" s="21">
        <f>SUM(F11,H11,J11,L11)</f>
        <v/>
      </c>
      <c r="N11" s="19" t="inlineStr">
        <is>
          <t>C07–C08</t>
        </is>
      </c>
      <c r="O11" s="19" t="inlineStr">
        <is>
          <t>Founding offer to warm contacts</t>
        </is>
      </c>
      <c r="P11" s="19" t="inlineStr">
        <is>
          <t>Live page; first paid order target</t>
        </is>
      </c>
      <c r="Q11" s="19" t="inlineStr">
        <is>
          <t>Not started</t>
        </is>
      </c>
    </row>
    <row r="12" ht="76" customHeight="1">
      <c r="B12" s="19" t="n">
        <v>5</v>
      </c>
      <c r="C12" s="19" t="inlineStr">
        <is>
          <t>23 Oct–29 Oct</t>
        </is>
      </c>
      <c r="D12" s="19" t="inlineStr">
        <is>
          <t>Founding launch</t>
        </is>
      </c>
      <c r="E12" s="19" t="inlineStr">
        <is>
          <t>Launch posts + 3-day sequence</t>
        </is>
      </c>
      <c r="F12" s="20" t="n">
        <v>70</v>
      </c>
      <c r="G12" s="19" t="inlineStr">
        <is>
          <t>15 direct warm messages</t>
        </is>
      </c>
      <c r="H12" s="20" t="n">
        <v>45</v>
      </c>
      <c r="I12" s="19" t="inlineStr">
        <is>
          <t>Support + collect buyer replies</t>
        </is>
      </c>
      <c r="J12" s="20" t="n">
        <v>35</v>
      </c>
      <c r="K12" s="19" t="inlineStr">
        <is>
          <t>Fix top friction + publish C09/C10</t>
        </is>
      </c>
      <c r="L12" s="20" t="n">
        <v>90</v>
      </c>
      <c r="M12" s="21">
        <f>SUM(F12,H12,J12,L12)</f>
        <v/>
      </c>
      <c r="N12" s="19" t="inlineStr">
        <is>
          <t>C09–C10</t>
        </is>
      </c>
      <c r="O12" s="19" t="inlineStr">
        <is>
          <t>Close $15 founding batch at 25</t>
        </is>
      </c>
      <c r="P12" s="19" t="inlineStr">
        <is>
          <t>3+ cumulative orders</t>
        </is>
      </c>
      <c r="Q12" s="19" t="inlineStr">
        <is>
          <t>Not started</t>
        </is>
      </c>
    </row>
    <row r="13" ht="76" customHeight="1">
      <c r="B13" s="19" t="n">
        <v>6</v>
      </c>
      <c r="C13" s="19" t="inlineStr">
        <is>
          <t>30 Oct–05 Nov</t>
        </is>
      </c>
      <c r="D13" s="19" t="inlineStr">
        <is>
          <t>Conversion baseline</t>
        </is>
      </c>
      <c r="E13" s="19" t="inlineStr">
        <is>
          <t>Review clicks, checkout, sales</t>
        </is>
      </c>
      <c r="F13" s="20" t="n">
        <v>35</v>
      </c>
      <c r="G13" s="19" t="inlineStr">
        <is>
          <t>Rewrite headline/FAQ from objections</t>
        </is>
      </c>
      <c r="H13" s="20" t="n">
        <v>50</v>
      </c>
      <c r="I13" s="19" t="inlineStr">
        <is>
          <t>Create 3 proof assets/previews</t>
        </is>
      </c>
      <c r="J13" s="20" t="n">
        <v>55</v>
      </c>
      <c r="K13" s="19" t="inlineStr">
        <is>
          <t>Publish C11/C12 + partner asks</t>
        </is>
      </c>
      <c r="L13" s="20" t="n">
        <v>100</v>
      </c>
      <c r="M13" s="21">
        <f>SUM(F13,H13,J13,L13)</f>
        <v/>
      </c>
      <c r="N13" s="19" t="inlineStr">
        <is>
          <t>C11–C12</t>
        </is>
      </c>
      <c r="O13" s="19" t="inlineStr">
        <is>
          <t>Pitch 5 micro-creators</t>
        </is>
      </c>
      <c r="P13" s="19" t="inlineStr">
        <is>
          <t>Page data captured; 5 partner asks</t>
        </is>
      </c>
      <c r="Q13" s="19" t="inlineStr">
        <is>
          <t>Not started</t>
        </is>
      </c>
    </row>
    <row r="14" ht="76" customHeight="1">
      <c r="B14" s="19" t="n">
        <v>7</v>
      </c>
      <c r="C14" s="19" t="inlineStr">
        <is>
          <t>06 Nov–12 Nov</t>
        </is>
      </c>
      <c r="D14" s="19" t="inlineStr">
        <is>
          <t>Email engine</t>
        </is>
      </c>
      <c r="E14" s="19" t="inlineStr">
        <is>
          <t>Write 3-email welcome sequence</t>
        </is>
      </c>
      <c r="F14" s="20" t="n">
        <v>70</v>
      </c>
      <c r="G14" s="19" t="inlineStr">
        <is>
          <t>Build buyer follow-up/review email</t>
        </is>
      </c>
      <c r="H14" s="20" t="n">
        <v>40</v>
      </c>
      <c r="I14" s="19" t="inlineStr">
        <is>
          <t>Create one bonus from questions</t>
        </is>
      </c>
      <c r="J14" s="20" t="n">
        <v>40</v>
      </c>
      <c r="K14" s="19" t="inlineStr">
        <is>
          <t>Publish C13/C14 + replies</t>
        </is>
      </c>
      <c r="L14" s="20" t="n">
        <v>90</v>
      </c>
      <c r="M14" s="21">
        <f>SUM(F14,H14,J14,L14)</f>
        <v/>
      </c>
      <c r="N14" s="19" t="inlineStr">
        <is>
          <t>C13–C14</t>
        </is>
      </c>
      <c r="O14" s="19" t="inlineStr">
        <is>
          <t>Lead magnet CTA all week</t>
        </is>
      </c>
      <c r="P14" s="19" t="inlineStr">
        <is>
          <t>25 cumulative leads target</t>
        </is>
      </c>
      <c r="Q14" s="19" t="inlineStr">
        <is>
          <t>Not started</t>
        </is>
      </c>
    </row>
    <row r="15" ht="76" customHeight="1">
      <c r="B15" s="19" t="n">
        <v>8</v>
      </c>
      <c r="C15" s="19" t="inlineStr">
        <is>
          <t>13 Nov–19 Nov</t>
        </is>
      </c>
      <c r="D15" s="19" t="inlineStr">
        <is>
          <t>Affiliate pilot</t>
        </is>
      </c>
      <c r="E15" s="19" t="inlineStr">
        <is>
          <t>Create partner pitch + media kit</t>
        </is>
      </c>
      <c r="F15" s="20" t="n">
        <v>45</v>
      </c>
      <c r="G15" s="19" t="inlineStr">
        <is>
          <t>Invite 10 aligned creators/newsletters</t>
        </is>
      </c>
      <c r="H15" s="20" t="n">
        <v>55</v>
      </c>
      <c r="I15" s="19" t="inlineStr">
        <is>
          <t>Create affiliate-ready swipe copy</t>
        </is>
      </c>
      <c r="J15" s="20" t="n">
        <v>35</v>
      </c>
      <c r="K15" s="19" t="inlineStr">
        <is>
          <t>Publish C15/C16 + collab post</t>
        </is>
      </c>
      <c r="L15" s="20" t="n">
        <v>105</v>
      </c>
      <c r="M15" s="21">
        <f>SUM(F15,H15,J15,L15)</f>
        <v/>
      </c>
      <c r="N15" s="19" t="inlineStr">
        <is>
          <t>C15–C16</t>
        </is>
      </c>
      <c r="O15" s="19" t="inlineStr">
        <is>
          <t>Offer 30% on first campaign</t>
        </is>
      </c>
      <c r="P15" s="19" t="inlineStr">
        <is>
          <t>2 active partner conversations</t>
        </is>
      </c>
      <c r="Q15" s="19" t="inlineStr">
        <is>
          <t>Not started</t>
        </is>
      </c>
    </row>
    <row r="16" ht="76" customHeight="1">
      <c r="B16" s="19" t="n">
        <v>9</v>
      </c>
      <c r="C16" s="19" t="inlineStr">
        <is>
          <t>20 Nov–26 Nov</t>
        </is>
      </c>
      <c r="D16" s="19" t="inlineStr">
        <is>
          <t>Offer iteration</t>
        </is>
      </c>
      <c r="E16" s="19" t="inlineStr">
        <is>
          <t>Interview/message 5 users</t>
        </is>
      </c>
      <c r="F16" s="20" t="n">
        <v>45</v>
      </c>
      <c r="G16" s="19" t="inlineStr">
        <is>
          <t>Improve product + page proof</t>
        </is>
      </c>
      <c r="H16" s="20" t="n">
        <v>55</v>
      </c>
      <c r="I16" s="19" t="inlineStr">
        <is>
          <t>Create $27 bundle waitlist page</t>
        </is>
      </c>
      <c r="J16" s="20" t="n">
        <v>35</v>
      </c>
      <c r="K16" s="19" t="inlineStr">
        <is>
          <t>Publish C17/C18 + sell</t>
        </is>
      </c>
      <c r="L16" s="20" t="n">
        <v>105</v>
      </c>
      <c r="M16" s="21">
        <f>SUM(F16,H16,J16,L16)</f>
        <v/>
      </c>
      <c r="N16" s="19" t="inlineStr">
        <is>
          <t>C17–C18</t>
        </is>
      </c>
      <c r="O16" s="19" t="inlineStr">
        <is>
          <t>Upsell waitlist to buyers/leads</t>
        </is>
      </c>
      <c r="P16" s="19" t="inlineStr">
        <is>
          <t>10 cumulative orders or clear blocker</t>
        </is>
      </c>
      <c r="Q16" s="19" t="inlineStr">
        <is>
          <t>Not started</t>
        </is>
      </c>
    </row>
    <row r="17" ht="76" customHeight="1">
      <c r="B17" s="19" t="n">
        <v>10</v>
      </c>
      <c r="C17" s="19" t="inlineStr">
        <is>
          <t>27 Nov–03 Dec</t>
        </is>
      </c>
      <c r="D17" s="19" t="inlineStr">
        <is>
          <t>Paid test gate</t>
        </is>
      </c>
      <c r="E17" s="19" t="inlineStr">
        <is>
          <t>Select proven organic creative</t>
        </is>
      </c>
      <c r="F17" s="20" t="n">
        <v>30</v>
      </c>
      <c r="G17" s="19" t="inlineStr">
        <is>
          <t>Build $35 lead-magnet boost</t>
        </is>
      </c>
      <c r="H17" s="20" t="n">
        <v>45</v>
      </c>
      <c r="I17" s="19" t="inlineStr">
        <is>
          <t>Run QA + tracking links</t>
        </is>
      </c>
      <c r="J17" s="20" t="n">
        <v>30</v>
      </c>
      <c r="K17" s="19" t="inlineStr">
        <is>
          <t>Publish C19/C20 + outreach</t>
        </is>
      </c>
      <c r="L17" s="20" t="n">
        <v>135</v>
      </c>
      <c r="M17" s="21">
        <f>SUM(F17,H17,J17,L17)</f>
        <v/>
      </c>
      <c r="N17" s="19" t="inlineStr">
        <is>
          <t>C19–C20</t>
        </is>
      </c>
      <c r="O17" s="19" t="inlineStr">
        <is>
          <t>Spend only if Gate 3 is met</t>
        </is>
      </c>
      <c r="P17" s="19" t="inlineStr">
        <is>
          <t>Cost per lead measured; stop rule used</t>
        </is>
      </c>
      <c r="Q17" s="19" t="inlineStr">
        <is>
          <t>Not started</t>
        </is>
      </c>
    </row>
    <row r="18" ht="76" customHeight="1">
      <c r="B18" s="19" t="n">
        <v>11</v>
      </c>
      <c r="C18" s="19" t="inlineStr">
        <is>
          <t>04 Dec–10 Dec</t>
        </is>
      </c>
      <c r="D18" s="19" t="inlineStr">
        <is>
          <t>Launch round two</t>
        </is>
      </c>
      <c r="E18" s="19" t="inlineStr">
        <is>
          <t>Package buyer results/quotes</t>
        </is>
      </c>
      <c r="F18" s="20" t="n">
        <v>45</v>
      </c>
      <c r="G18" s="19" t="inlineStr">
        <is>
          <t>Run 5-day launch sequence</t>
        </is>
      </c>
      <c r="H18" s="20" t="n">
        <v>65</v>
      </c>
      <c r="I18" s="19" t="inlineStr">
        <is>
          <t>Affiliate follow-up</t>
        </is>
      </c>
      <c r="J18" s="20" t="n">
        <v>30</v>
      </c>
      <c r="K18" s="19" t="inlineStr">
        <is>
          <t>Publish C21/C22 + replies</t>
        </is>
      </c>
      <c r="L18" s="20" t="n">
        <v>100</v>
      </c>
      <c r="M18" s="21">
        <f>SUM(F18,H18,J18,L18)</f>
        <v/>
      </c>
      <c r="N18" s="19" t="inlineStr">
        <is>
          <t>C21–C22</t>
        </is>
      </c>
      <c r="O18" s="19" t="inlineStr">
        <is>
          <t>Raise price to $19</t>
        </is>
      </c>
      <c r="P18" s="19" t="inlineStr">
        <is>
          <t>25 cumulative orders target</t>
        </is>
      </c>
      <c r="Q18" s="19" t="inlineStr">
        <is>
          <t>Not started</t>
        </is>
      </c>
    </row>
    <row r="19" ht="76" customHeight="1">
      <c r="B19" s="19" t="n">
        <v>12</v>
      </c>
      <c r="C19" s="19" t="inlineStr">
        <is>
          <t>11 Dec–17 Dec</t>
        </is>
      </c>
      <c r="D19" s="19" t="inlineStr">
        <is>
          <t>Bundle decision</t>
        </is>
      </c>
      <c r="E19" s="19" t="inlineStr">
        <is>
          <t>Review cohort economics</t>
        </is>
      </c>
      <c r="F19" s="20" t="n">
        <v>40</v>
      </c>
      <c r="G19" s="19" t="inlineStr">
        <is>
          <t>Build $27 bundle only if gate met</t>
        </is>
      </c>
      <c r="H19" s="20" t="n">
        <v>80</v>
      </c>
      <c r="I19" s="19" t="inlineStr">
        <is>
          <t>Improve onboarding/support</t>
        </is>
      </c>
      <c r="J19" s="20" t="n">
        <v>35</v>
      </c>
      <c r="K19" s="19" t="inlineStr">
        <is>
          <t>Publish C23/C24 + partner asks</t>
        </is>
      </c>
      <c r="L19" s="20" t="n">
        <v>85</v>
      </c>
      <c r="M19" s="21">
        <f>SUM(F19,H19,J19,L19)</f>
        <v/>
      </c>
      <c r="N19" s="19" t="inlineStr">
        <is>
          <t>C23–C24</t>
        </is>
      </c>
      <c r="O19" s="19" t="inlineStr">
        <is>
          <t>Cross-sell buyers if bundle exists</t>
        </is>
      </c>
      <c r="P19" s="19" t="inlineStr">
        <is>
          <t>Decision recorded: build, delay, or kill</t>
        </is>
      </c>
      <c r="Q19" s="19" t="inlineStr">
        <is>
          <t>Not started</t>
        </is>
      </c>
    </row>
    <row r="20" ht="76" customHeight="1">
      <c r="B20" s="19" t="n">
        <v>13</v>
      </c>
      <c r="C20" s="19" t="inlineStr">
        <is>
          <t>18 Dec–24 Dec</t>
        </is>
      </c>
      <c r="D20" s="19" t="inlineStr">
        <is>
          <t>Next-quarter system</t>
        </is>
      </c>
      <c r="E20" s="19" t="inlineStr">
        <is>
          <t>Full 90-day review</t>
        </is>
      </c>
      <c r="F20" s="20" t="n">
        <v>45</v>
      </c>
      <c r="G20" s="19" t="inlineStr">
        <is>
          <t>Archive winners + reusable templates</t>
        </is>
      </c>
      <c r="H20" s="20" t="n">
        <v>45</v>
      </c>
      <c r="I20" s="19" t="inlineStr">
        <is>
          <t>Plan next 13-week queue</t>
        </is>
      </c>
      <c r="J20" s="20" t="n">
        <v>60</v>
      </c>
      <c r="K20" s="19" t="inlineStr">
        <is>
          <t>Publish C25/C26 + customer email</t>
        </is>
      </c>
      <c r="L20" s="20" t="n">
        <v>90</v>
      </c>
      <c r="M20" s="21">
        <f>SUM(F20,H20,J20,L20)</f>
        <v/>
      </c>
      <c r="N20" s="19" t="inlineStr">
        <is>
          <t>C25–C26</t>
        </is>
      </c>
      <c r="O20" s="19" t="inlineStr">
        <is>
          <t>Set next revenue target by evidence</t>
        </is>
      </c>
      <c r="P20" s="19" t="inlineStr">
        <is>
          <t>Scorecard complete; next sprint booked</t>
        </is>
      </c>
      <c r="Q20" s="19" t="inlineStr">
        <is>
          <t>Not started</t>
        </is>
      </c>
    </row>
  </sheetData>
  <mergeCells count="2">
    <mergeCell ref="B2:Q2"/>
    <mergeCell ref="B3:Q3"/>
  </mergeCells>
  <conditionalFormatting sqref="M8:M20">
    <cfRule type="expression" priority="1" dxfId="0">
      <formula>M8&lt;&gt;240</formula>
    </cfRule>
  </conditionalFormatting>
  <dataValidations count="1">
    <dataValidation sqref="Q8:Q20" showDropDown="0" showInputMessage="0" showErrorMessage="0" allowBlank="0" type="list">
      <formula1>"Not started,In progress,Done,Blocked"</formula1>
    </dataValidation>
  </dataValidations>
  <hyperlinks>
    <hyperlink ref="B5" location="'Command Center'!B2"/>
    <hyperlink ref="C5" location="'90-Day Sprints'!B2"/>
    <hyperlink ref="D5" location="'Task Backlog'!B2"/>
    <hyperlink ref="E5" location="'Content Queue'!B2"/>
    <hyperlink ref="F5" location="'Product &amp; Funnel'!B2"/>
    <hyperlink ref="G5" location="'Metrics'!B2"/>
    <hyperlink ref="H5" location="'Sources'!B2"/>
  </hyperlinks>
  <pageMargins left="0.25" right="0.25" top="0.5" bottom="0.5" header="0.5" footer="0.5"/>
  <pageSetup fitToHeight="0" fitToWidth="1"/>
  <headerFooter>
    <oddHeader/>
    <oddFooter>&amp;C1CRORE2REPS  |  Financial muscle for Indians everywhere.&amp;RPage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O67"/>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9" customWidth="1" min="3" max="3"/>
    <col width="17" customWidth="1" min="4" max="4"/>
    <col width="34" customWidth="1" min="5" max="5"/>
    <col width="46" customWidth="1" min="6" max="6"/>
    <col width="10" customWidth="1" min="7" max="7"/>
    <col width="10" customWidth="1" min="8" max="8"/>
    <col width="17" customWidth="1" min="9" max="9"/>
    <col width="13" customWidth="1" min="10" max="10"/>
    <col width="14" customWidth="1" min="11" max="11"/>
    <col width="12" customWidth="1" min="12" max="12"/>
    <col width="34" customWidth="1" min="13" max="13"/>
  </cols>
  <sheetData>
    <row r="1"/>
    <row r="2" ht="34" customHeight="1">
      <c r="B2" s="1" t="inlineStr">
        <is>
          <t>MASTER TASK BACKLOG</t>
        </is>
      </c>
    </row>
    <row r="3" ht="24" customHeight="1">
      <c r="B3" s="2" t="inlineStr">
        <is>
          <t>Complete in priority order. Blue text = user input. Filter by week, workstream, status, or cash impact.</t>
        </is>
      </c>
    </row>
    <row r="4"/>
    <row r="5">
      <c r="B5" s="3" t="inlineStr">
        <is>
          <t>Command Center</t>
        </is>
      </c>
      <c r="C5" s="3" t="inlineStr">
        <is>
          <t>90-Day Sprints</t>
        </is>
      </c>
      <c r="D5" s="3" t="inlineStr">
        <is>
          <t>Task Backlog</t>
        </is>
      </c>
      <c r="E5" s="3" t="inlineStr">
        <is>
          <t>Content Queue</t>
        </is>
      </c>
      <c r="F5" s="3" t="inlineStr">
        <is>
          <t>Product &amp; Funnel</t>
        </is>
      </c>
      <c r="G5" s="3" t="inlineStr">
        <is>
          <t>Metrics</t>
        </is>
      </c>
      <c r="H5" s="3" t="inlineStr">
        <is>
          <t>Sources</t>
        </is>
      </c>
    </row>
    <row r="6"/>
    <row r="7">
      <c r="B7" t="inlineStr">
        <is>
          <t>ID</t>
        </is>
      </c>
      <c r="C7" t="inlineStr">
        <is>
          <t>Priority</t>
        </is>
      </c>
      <c r="D7" t="inlineStr">
        <is>
          <t>Workstream</t>
        </is>
      </c>
      <c r="E7" t="inlineStr">
        <is>
          <t>Task</t>
        </is>
      </c>
      <c r="F7" t="inlineStr">
        <is>
          <t>Deliverable / definition of done</t>
        </is>
      </c>
      <c r="G7" t="inlineStr">
        <is>
          <t>Est Min</t>
        </is>
      </c>
      <c r="H7" t="inlineStr">
        <is>
          <t>Due Week</t>
        </is>
      </c>
      <c r="I7" t="inlineStr">
        <is>
          <t>Dependency</t>
        </is>
      </c>
      <c r="J7" t="inlineStr">
        <is>
          <t>Cash Impact</t>
        </is>
      </c>
      <c r="K7" t="inlineStr">
        <is>
          <t>Status</t>
        </is>
      </c>
      <c r="L7" t="inlineStr">
        <is>
          <t>Owner</t>
        </is>
      </c>
      <c r="M7" t="inlineStr">
        <is>
          <t>Notes / source</t>
        </is>
      </c>
    </row>
    <row r="8" ht="44" customHeight="1">
      <c r="B8" s="19" t="inlineStr">
        <is>
          <t>T01</t>
        </is>
      </c>
      <c r="C8" s="19" t="inlineStr">
        <is>
          <t>P0</t>
        </is>
      </c>
      <c r="D8" s="19" t="inlineStr">
        <is>
          <t>Payments</t>
        </is>
      </c>
      <c r="E8" s="19" t="inlineStr">
        <is>
          <t>Choose first checkout: Gumroad</t>
        </is>
      </c>
      <c r="F8" s="19" t="inlineStr">
        <is>
          <t>Decision recorded; use Gumroad to reach first sale fast</t>
        </is>
      </c>
      <c r="G8" s="22" t="n">
        <v>15</v>
      </c>
      <c r="H8" s="22" t="n">
        <v>1</v>
      </c>
      <c r="I8" s="19" t="inlineStr">
        <is>
          <t>None</t>
        </is>
      </c>
      <c r="J8" s="19" t="inlineStr">
        <is>
          <t>Direct</t>
        </is>
      </c>
      <c r="K8" s="22" t="inlineStr">
        <is>
          <t>Not started</t>
        </is>
      </c>
      <c r="L8" s="19" t="inlineStr">
        <is>
          <t>Raghu</t>
        </is>
      </c>
      <c r="M8" s="19" t="inlineStr">
        <is>
          <t>MoR + India INR payout; reassess after 10 sales</t>
        </is>
      </c>
    </row>
    <row r="9" ht="44" customHeight="1">
      <c r="B9" s="19" t="inlineStr">
        <is>
          <t>T02</t>
        </is>
      </c>
      <c r="C9" s="19" t="inlineStr">
        <is>
          <t>P0</t>
        </is>
      </c>
      <c r="D9" s="19" t="inlineStr">
        <is>
          <t>Payments</t>
        </is>
      </c>
      <c r="E9" s="19" t="inlineStr">
        <is>
          <t>Create Gumroad seller account</t>
        </is>
      </c>
      <c r="F9" s="19" t="inlineStr">
        <is>
          <t>Profile, support email, legal name and address completed</t>
        </is>
      </c>
      <c r="G9" s="22" t="n">
        <v>20</v>
      </c>
      <c r="H9" s="22" t="n">
        <v>1</v>
      </c>
      <c r="I9" s="19" t="inlineStr">
        <is>
          <t>T01</t>
        </is>
      </c>
      <c r="J9" s="19" t="inlineStr">
        <is>
          <t>Direct</t>
        </is>
      </c>
      <c r="K9" s="22" t="inlineStr">
        <is>
          <t>Not started</t>
        </is>
      </c>
      <c r="L9" s="19" t="inlineStr">
        <is>
          <t>Raghu</t>
        </is>
      </c>
      <c r="M9" s="19" t="inlineStr">
        <is>
          <t>Use brand-facing name; real details for KYC</t>
        </is>
      </c>
    </row>
    <row r="10" ht="44" customHeight="1">
      <c r="B10" s="19" t="inlineStr">
        <is>
          <t>T03</t>
        </is>
      </c>
      <c r="C10" s="19" t="inlineStr">
        <is>
          <t>P0</t>
        </is>
      </c>
      <c r="D10" s="19" t="inlineStr">
        <is>
          <t>Payments</t>
        </is>
      </c>
      <c r="E10" s="19" t="inlineStr">
        <is>
          <t>Complete KYC and India bank payout</t>
        </is>
      </c>
      <c r="F10" s="19" t="inlineStr">
        <is>
          <t>Payout method shows active; ID and bank details accepted</t>
        </is>
      </c>
      <c r="G10" s="22" t="n">
        <v>30</v>
      </c>
      <c r="H10" s="22" t="n">
        <v>1</v>
      </c>
      <c r="I10" s="19" t="inlineStr">
        <is>
          <t>T02</t>
        </is>
      </c>
      <c r="J10" s="19" t="inlineStr">
        <is>
          <t>Direct</t>
        </is>
      </c>
      <c r="K10" s="22" t="inlineStr">
        <is>
          <t>Not started</t>
        </is>
      </c>
      <c r="L10" s="19" t="inlineStr">
        <is>
          <t>Raghu</t>
        </is>
      </c>
      <c r="M10" s="19" t="inlineStr">
        <is>
          <t>India bank payouts are supported in INR</t>
        </is>
      </c>
    </row>
    <row r="11" ht="44" customHeight="1">
      <c r="B11" s="19" t="inlineStr">
        <is>
          <t>T04</t>
        </is>
      </c>
      <c r="C11" s="19" t="inlineStr">
        <is>
          <t>P0</t>
        </is>
      </c>
      <c r="D11" s="19" t="inlineStr">
        <is>
          <t>Payments</t>
        </is>
      </c>
      <c r="E11" s="19" t="inlineStr">
        <is>
          <t>Run a hidden checkout test</t>
        </is>
      </c>
      <c r="F11" s="19" t="inlineStr">
        <is>
          <t>$1 hidden product bought, delivered, receipt checked, refund tested</t>
        </is>
      </c>
      <c r="G11" s="22" t="n">
        <v>25</v>
      </c>
      <c r="H11" s="22" t="n">
        <v>1</v>
      </c>
      <c r="I11" s="19" t="inlineStr">
        <is>
          <t>T03</t>
        </is>
      </c>
      <c r="J11" s="19" t="inlineStr">
        <is>
          <t>Direct</t>
        </is>
      </c>
      <c r="K11" s="22" t="inlineStr">
        <is>
          <t>Not started</t>
        </is>
      </c>
      <c r="L11" s="19" t="inlineStr">
        <is>
          <t>Raghu</t>
        </is>
      </c>
      <c r="M11" s="19" t="inlineStr">
        <is>
          <t>Use a second email; do not self-buy repeatedly</t>
        </is>
      </c>
    </row>
    <row r="12" ht="44" customHeight="1">
      <c r="B12" s="19" t="inlineStr">
        <is>
          <t>T05</t>
        </is>
      </c>
      <c r="C12" s="19" t="inlineStr">
        <is>
          <t>P0</t>
        </is>
      </c>
      <c r="D12" s="19" t="inlineStr">
        <is>
          <t>Operations</t>
        </is>
      </c>
      <c r="E12" s="19" t="inlineStr">
        <is>
          <t>Create support inbox</t>
        </is>
      </c>
      <c r="F12" s="19" t="inlineStr">
        <is>
          <t>support@ alias or dedicated Gmail is visible on product page</t>
        </is>
      </c>
      <c r="G12" s="22" t="n">
        <v>15</v>
      </c>
      <c r="H12" s="22" t="n">
        <v>1</v>
      </c>
      <c r="I12" s="19" t="inlineStr">
        <is>
          <t>None</t>
        </is>
      </c>
      <c r="J12" s="19" t="inlineStr">
        <is>
          <t>Risk</t>
        </is>
      </c>
      <c r="K12" s="22" t="inlineStr">
        <is>
          <t>Not started</t>
        </is>
      </c>
      <c r="L12" s="19" t="inlineStr">
        <is>
          <t>Raghu</t>
        </is>
      </c>
      <c r="M12" s="19" t="inlineStr">
        <is>
          <t>Replies checked in weekly block</t>
        </is>
      </c>
    </row>
    <row r="13" ht="44" customHeight="1">
      <c r="B13" s="19" t="inlineStr">
        <is>
          <t>T06</t>
        </is>
      </c>
      <c r="C13" s="19" t="inlineStr">
        <is>
          <t>P0</t>
        </is>
      </c>
      <c r="D13" s="19" t="inlineStr">
        <is>
          <t>Operations</t>
        </is>
      </c>
      <c r="E13" s="19" t="inlineStr">
        <is>
          <t>Write refund policy</t>
        </is>
      </c>
      <c r="F13" s="19" t="inlineStr">
        <is>
          <t>Plain-language 7-day policy plus exclusions for downloaded misuse where lawful</t>
        </is>
      </c>
      <c r="G13" s="22" t="n">
        <v>20</v>
      </c>
      <c r="H13" s="22" t="n">
        <v>1</v>
      </c>
      <c r="I13" s="19" t="inlineStr">
        <is>
          <t>T05</t>
        </is>
      </c>
      <c r="J13" s="19" t="inlineStr">
        <is>
          <t>Risk</t>
        </is>
      </c>
      <c r="K13" s="22" t="inlineStr">
        <is>
          <t>Not started</t>
        </is>
      </c>
      <c r="L13" s="19" t="inlineStr">
        <is>
          <t>Raghu</t>
        </is>
      </c>
      <c r="M13" s="19" t="inlineStr">
        <is>
          <t>Clear terms reduce support and disputes</t>
        </is>
      </c>
    </row>
    <row r="14" ht="44" customHeight="1">
      <c r="B14" s="19" t="inlineStr">
        <is>
          <t>T07</t>
        </is>
      </c>
      <c r="C14" s="19" t="inlineStr">
        <is>
          <t>P0</t>
        </is>
      </c>
      <c r="D14" s="19" t="inlineStr">
        <is>
          <t>Operations</t>
        </is>
      </c>
      <c r="E14" s="19" t="inlineStr">
        <is>
          <t>Write terms, privacy and disclaimer</t>
        </is>
      </c>
      <c r="F14" s="19" t="inlineStr">
        <is>
          <t>Short pages linked from checkout and opt-in</t>
        </is>
      </c>
      <c r="G14" s="22" t="n">
        <v>30</v>
      </c>
      <c r="H14" s="22" t="n">
        <v>1</v>
      </c>
      <c r="I14" s="19" t="inlineStr">
        <is>
          <t>T05</t>
        </is>
      </c>
      <c r="J14" s="19" t="inlineStr">
        <is>
          <t>Risk</t>
        </is>
      </c>
      <c r="K14" s="22" t="inlineStr">
        <is>
          <t>Not started</t>
        </is>
      </c>
      <c r="L14" s="19" t="inlineStr">
        <is>
          <t>Raghu</t>
        </is>
      </c>
      <c r="M14" s="19" t="inlineStr">
        <is>
          <t>Habits/education; no return or cure promises</t>
        </is>
      </c>
    </row>
    <row r="15" ht="44" customHeight="1">
      <c r="B15" s="19" t="inlineStr">
        <is>
          <t>T08</t>
        </is>
      </c>
      <c r="C15" s="19" t="inlineStr">
        <is>
          <t>P0</t>
        </is>
      </c>
      <c r="D15" s="19" t="inlineStr">
        <is>
          <t>Finance admin</t>
        </is>
      </c>
      <c r="E15" s="19" t="inlineStr">
        <is>
          <t>Book India CA check</t>
        </is>
      </c>
      <c r="F15" s="19" t="inlineStr">
        <is>
          <t>30-minute call booked before first payout</t>
        </is>
      </c>
      <c r="G15" s="22" t="n">
        <v>15</v>
      </c>
      <c r="H15" s="22" t="n">
        <v>4</v>
      </c>
      <c r="I15" s="19" t="inlineStr">
        <is>
          <t>T03</t>
        </is>
      </c>
      <c r="J15" s="19" t="inlineStr">
        <is>
          <t>Risk</t>
        </is>
      </c>
      <c r="K15" s="22" t="inlineStr">
        <is>
          <t>Not started</t>
        </is>
      </c>
      <c r="L15" s="19" t="inlineStr">
        <is>
          <t>Raghu</t>
        </is>
      </c>
      <c r="M15" s="19" t="inlineStr">
        <is>
          <t>Confirm GST/export/MoR treatment and records</t>
        </is>
      </c>
    </row>
    <row r="16" ht="44" customHeight="1">
      <c r="B16" s="19" t="inlineStr">
        <is>
          <t>T09</t>
        </is>
      </c>
      <c r="C16" s="19" t="inlineStr">
        <is>
          <t>P1</t>
        </is>
      </c>
      <c r="D16" s="19" t="inlineStr">
        <is>
          <t>Finance admin</t>
        </is>
      </c>
      <c r="E16" s="19" t="inlineStr">
        <is>
          <t>Create payout records folder</t>
        </is>
      </c>
      <c r="F16" s="19" t="inlineStr">
        <is>
          <t>Folders for payout invoices, bank credits, sales CSVs and expenses</t>
        </is>
      </c>
      <c r="G16" s="22" t="n">
        <v>15</v>
      </c>
      <c r="H16" s="22" t="n">
        <v>4</v>
      </c>
      <c r="I16" s="19" t="inlineStr">
        <is>
          <t>T03</t>
        </is>
      </c>
      <c r="J16" s="19" t="inlineStr">
        <is>
          <t>Risk</t>
        </is>
      </c>
      <c r="K16" s="22" t="inlineStr">
        <is>
          <t>Not started</t>
        </is>
      </c>
      <c r="L16" s="19" t="inlineStr">
        <is>
          <t>Raghu</t>
        </is>
      </c>
      <c r="M16" s="19" t="inlineStr">
        <is>
          <t>Monthly archive</t>
        </is>
      </c>
    </row>
    <row r="17" ht="44" customHeight="1">
      <c r="B17" s="19" t="inlineStr">
        <is>
          <t>T10</t>
        </is>
      </c>
      <c r="C17" s="19" t="inlineStr">
        <is>
          <t>P1</t>
        </is>
      </c>
      <c r="D17" s="19" t="inlineStr">
        <is>
          <t>Payments</t>
        </is>
      </c>
      <c r="E17" s="19" t="inlineStr">
        <is>
          <t>Apply to Lemon Squeezy in parallel</t>
        </is>
      </c>
      <c r="F17" s="19" t="inlineStr">
        <is>
          <t>Application submitted; PayPal payout path checked</t>
        </is>
      </c>
      <c r="G17" s="22" t="n">
        <v>30</v>
      </c>
      <c r="H17" s="22" t="n">
        <v>2</v>
      </c>
      <c r="I17" s="19" t="inlineStr">
        <is>
          <t>T03</t>
        </is>
      </c>
      <c r="J17" s="19" t="inlineStr">
        <is>
          <t>Leverage</t>
        </is>
      </c>
      <c r="K17" s="22" t="inlineStr">
        <is>
          <t>Not started</t>
        </is>
      </c>
      <c r="L17" s="19" t="inlineStr">
        <is>
          <t>Raghu</t>
        </is>
      </c>
      <c r="M17" s="19" t="inlineStr">
        <is>
          <t>Alternative MoR; do not delay Gumroad launch</t>
        </is>
      </c>
    </row>
    <row r="18" ht="44" customHeight="1">
      <c r="B18" s="19" t="inlineStr">
        <is>
          <t>T11</t>
        </is>
      </c>
      <c r="C18" s="19" t="inlineStr">
        <is>
          <t>P2</t>
        </is>
      </c>
      <c r="D18" s="19" t="inlineStr">
        <is>
          <t>Payments</t>
        </is>
      </c>
      <c r="E18" s="19" t="inlineStr">
        <is>
          <t>Evaluate Payhip + Razorpay</t>
        </is>
      </c>
      <c r="F18" s="19" t="inlineStr">
        <is>
          <t>Decision after 10 sales using fees, tax admin and buyer mix</t>
        </is>
      </c>
      <c r="G18" s="22" t="n">
        <v>30</v>
      </c>
      <c r="H18" s="22" t="n">
        <v>9</v>
      </c>
      <c r="I18" s="19" t="inlineStr">
        <is>
          <t>10 sales</t>
        </is>
      </c>
      <c r="J18" s="19" t="inlineStr">
        <is>
          <t>Leverage</t>
        </is>
      </c>
      <c r="K18" s="22" t="inlineStr">
        <is>
          <t>Not started</t>
        </is>
      </c>
      <c r="L18" s="19" t="inlineStr">
        <is>
          <t>Raghu</t>
        </is>
      </c>
      <c r="M18" s="19" t="inlineStr">
        <is>
          <t>Better India payment mix; not full global MoR</t>
        </is>
      </c>
    </row>
    <row r="19" ht="44" customHeight="1">
      <c r="B19" s="19" t="inlineStr">
        <is>
          <t>T12</t>
        </is>
      </c>
      <c r="C19" s="19" t="inlineStr">
        <is>
          <t>P0</t>
        </is>
      </c>
      <c r="D19" s="19" t="inlineStr">
        <is>
          <t>Product</t>
        </is>
      </c>
      <c r="E19" s="19" t="inlineStr">
        <is>
          <t>Lock buyer and painful moment</t>
        </is>
      </c>
      <c r="F19" s="19" t="inlineStr">
        <is>
          <t>One sentence: busy Indian/NRI 30–50 who cannot make money/fitness routines stick</t>
        </is>
      </c>
      <c r="G19" s="22" t="n">
        <v>20</v>
      </c>
      <c r="H19" s="22" t="n">
        <v>1</v>
      </c>
      <c r="I19" s="19" t="inlineStr">
        <is>
          <t>None</t>
        </is>
      </c>
      <c r="J19" s="19" t="inlineStr">
        <is>
          <t>Direct</t>
        </is>
      </c>
      <c r="K19" s="22" t="inlineStr">
        <is>
          <t>Not started</t>
        </is>
      </c>
      <c r="L19" s="19" t="inlineStr">
        <is>
          <t>Raghu</t>
        </is>
      </c>
      <c r="M19" s="19" t="inlineStr">
        <is>
          <t>No broad “everyone” positioning</t>
        </is>
      </c>
    </row>
    <row r="20" ht="44" customHeight="1">
      <c r="B20" s="19" t="inlineStr">
        <is>
          <t>T13</t>
        </is>
      </c>
      <c r="C20" s="19" t="inlineStr">
        <is>
          <t>P0</t>
        </is>
      </c>
      <c r="D20" s="19" t="inlineStr">
        <is>
          <t>Product</t>
        </is>
      </c>
      <c r="E20" s="19" t="inlineStr">
        <is>
          <t>Lock product promise</t>
        </is>
      </c>
      <c r="F20" s="19" t="inlineStr">
        <is>
          <t>30 days to install one weekly money ritual and one minimum viable strength routine</t>
        </is>
      </c>
      <c r="G20" s="22" t="n">
        <v>25</v>
      </c>
      <c r="H20" s="22" t="n">
        <v>1</v>
      </c>
      <c r="I20" s="19" t="inlineStr">
        <is>
          <t>T12</t>
        </is>
      </c>
      <c r="J20" s="19" t="inlineStr">
        <is>
          <t>Direct</t>
        </is>
      </c>
      <c r="K20" s="22" t="inlineStr">
        <is>
          <t>Not started</t>
        </is>
      </c>
      <c r="L20" s="19" t="inlineStr">
        <is>
          <t>Raghu</t>
        </is>
      </c>
      <c r="M20" s="19" t="inlineStr">
        <is>
          <t>Concrete system, not information ebook</t>
        </is>
      </c>
    </row>
    <row r="21" ht="44" customHeight="1">
      <c r="B21" s="19" t="inlineStr">
        <is>
          <t>T14</t>
        </is>
      </c>
      <c r="C21" s="19" t="inlineStr">
        <is>
          <t>P0</t>
        </is>
      </c>
      <c r="D21" s="19" t="inlineStr">
        <is>
          <t>Product</t>
        </is>
      </c>
      <c r="E21" s="19" t="inlineStr">
        <is>
          <t>Approve product architecture</t>
        </is>
      </c>
      <c r="F21" s="19" t="inlineStr">
        <is>
          <t>30-day plan, dual dashboard, weekly cards, rescue card, quickstart</t>
        </is>
      </c>
      <c r="G21" s="22" t="n">
        <v>30</v>
      </c>
      <c r="H21" s="22" t="n">
        <v>2</v>
      </c>
      <c r="I21" s="19" t="inlineStr">
        <is>
          <t>T13</t>
        </is>
      </c>
      <c r="J21" s="19" t="inlineStr">
        <is>
          <t>Direct</t>
        </is>
      </c>
      <c r="K21" s="22" t="inlineStr">
        <is>
          <t>Not started</t>
        </is>
      </c>
      <c r="L21" s="19" t="inlineStr">
        <is>
          <t>Raghu</t>
        </is>
      </c>
      <c r="M21" s="19" t="inlineStr">
        <is>
          <t>See Product &amp; Funnel</t>
        </is>
      </c>
    </row>
    <row r="22" ht="44" customHeight="1">
      <c r="B22" s="19" t="inlineStr">
        <is>
          <t>T15</t>
        </is>
      </c>
      <c r="C22" s="19" t="inlineStr">
        <is>
          <t>P0</t>
        </is>
      </c>
      <c r="D22" s="19" t="inlineStr">
        <is>
          <t>Research</t>
        </is>
      </c>
      <c r="E22" s="19" t="inlineStr">
        <is>
          <t>Collect 10 pain responses</t>
        </is>
      </c>
      <c r="F22" s="19" t="inlineStr">
        <is>
          <t>DM or poll target people; paste exact language into notes</t>
        </is>
      </c>
      <c r="G22" s="22" t="n">
        <v>45</v>
      </c>
      <c r="H22" s="22" t="n">
        <v>2</v>
      </c>
      <c r="I22" s="19" t="inlineStr">
        <is>
          <t>T12</t>
        </is>
      </c>
      <c r="J22" s="19" t="inlineStr">
        <is>
          <t>Direct</t>
        </is>
      </c>
      <c r="K22" s="22" t="inlineStr">
        <is>
          <t>Not started</t>
        </is>
      </c>
      <c r="L22" s="19" t="inlineStr">
        <is>
          <t>Raghu</t>
        </is>
      </c>
      <c r="M22" s="19" t="inlineStr">
        <is>
          <t>Ask one question only</t>
        </is>
      </c>
    </row>
    <row r="23" ht="44" customHeight="1">
      <c r="B23" s="19" t="inlineStr">
        <is>
          <t>T16</t>
        </is>
      </c>
      <c r="C23" s="19" t="inlineStr">
        <is>
          <t>P0</t>
        </is>
      </c>
      <c r="D23" s="19" t="inlineStr">
        <is>
          <t>Product</t>
        </is>
      </c>
      <c r="E23" s="19" t="inlineStr">
        <is>
          <t>Build one finished sample day</t>
        </is>
      </c>
      <c r="F23" s="19" t="inlineStr">
        <is>
          <t>Voice, structure, action, checkbox and reflection line approved</t>
        </is>
      </c>
      <c r="G23" s="22" t="n">
        <v>45</v>
      </c>
      <c r="H23" s="22" t="n">
        <v>2</v>
      </c>
      <c r="I23" s="19" t="inlineStr">
        <is>
          <t>T14</t>
        </is>
      </c>
      <c r="J23" s="19" t="inlineStr">
        <is>
          <t>Direct</t>
        </is>
      </c>
      <c r="K23" s="22" t="inlineStr">
        <is>
          <t>Not started</t>
        </is>
      </c>
      <c r="L23" s="19" t="inlineStr">
        <is>
          <t>Raghu</t>
        </is>
      </c>
      <c r="M23" s="19" t="inlineStr">
        <is>
          <t>Quality gate before full build</t>
        </is>
      </c>
    </row>
    <row r="24" ht="44" customHeight="1">
      <c r="B24" s="19" t="inlineStr">
        <is>
          <t>T17</t>
        </is>
      </c>
      <c r="C24" s="19" t="inlineStr">
        <is>
          <t>P0</t>
        </is>
      </c>
      <c r="D24" s="19" t="inlineStr">
        <is>
          <t>Product</t>
        </is>
      </c>
      <c r="E24" s="19" t="inlineStr">
        <is>
          <t>Write Days 1–10</t>
        </is>
      </c>
      <c r="F24" s="19" t="inlineStr">
        <is>
          <t>Ten action pages at approved sample quality</t>
        </is>
      </c>
      <c r="G24" s="22" t="n">
        <v>55</v>
      </c>
      <c r="H24" s="22" t="n">
        <v>3</v>
      </c>
      <c r="I24" s="19" t="inlineStr">
        <is>
          <t>T16</t>
        </is>
      </c>
      <c r="J24" s="19" t="inlineStr">
        <is>
          <t>Direct</t>
        </is>
      </c>
      <c r="K24" s="22" t="inlineStr">
        <is>
          <t>Not started</t>
        </is>
      </c>
      <c r="L24" s="19" t="inlineStr">
        <is>
          <t>Raghu</t>
        </is>
      </c>
      <c r="M24" s="19" t="inlineStr">
        <is>
          <t>One meaningful action/page</t>
        </is>
      </c>
    </row>
    <row r="25" ht="44" customHeight="1">
      <c r="B25" s="19" t="inlineStr">
        <is>
          <t>T18</t>
        </is>
      </c>
      <c r="C25" s="19" t="inlineStr">
        <is>
          <t>P0</t>
        </is>
      </c>
      <c r="D25" s="19" t="inlineStr">
        <is>
          <t>Product</t>
        </is>
      </c>
      <c r="E25" s="19" t="inlineStr">
        <is>
          <t>Write Days 11–20</t>
        </is>
      </c>
      <c r="F25" s="19" t="inlineStr">
        <is>
          <t>Ten action pages + midpoint rescue</t>
        </is>
      </c>
      <c r="G25" s="22" t="n">
        <v>55</v>
      </c>
      <c r="H25" s="22" t="n">
        <v>3</v>
      </c>
      <c r="I25" s="19" t="inlineStr">
        <is>
          <t>T17</t>
        </is>
      </c>
      <c r="J25" s="19" t="inlineStr">
        <is>
          <t>Direct</t>
        </is>
      </c>
      <c r="K25" s="22" t="inlineStr">
        <is>
          <t>Not started</t>
        </is>
      </c>
      <c r="L25" s="19" t="inlineStr">
        <is>
          <t>Raghu</t>
        </is>
      </c>
      <c r="M25" s="19" t="inlineStr">
        <is>
          <t>No restarts rule</t>
        </is>
      </c>
    </row>
    <row r="26" ht="44" customHeight="1">
      <c r="B26" s="19" t="inlineStr">
        <is>
          <t>T19</t>
        </is>
      </c>
      <c r="C26" s="19" t="inlineStr">
        <is>
          <t>P0</t>
        </is>
      </c>
      <c r="D26" s="19" t="inlineStr">
        <is>
          <t>Product</t>
        </is>
      </c>
      <c r="E26" s="19" t="inlineStr">
        <is>
          <t>Write Days 21–30</t>
        </is>
      </c>
      <c r="F26" s="19" t="inlineStr">
        <is>
          <t>Ten action pages + close measurement loop</t>
        </is>
      </c>
      <c r="G26" s="22" t="n">
        <v>55</v>
      </c>
      <c r="H26" s="22" t="n">
        <v>3</v>
      </c>
      <c r="I26" s="19" t="inlineStr">
        <is>
          <t>T18</t>
        </is>
      </c>
      <c r="J26" s="19" t="inlineStr">
        <is>
          <t>Direct</t>
        </is>
      </c>
      <c r="K26" s="22" t="inlineStr">
        <is>
          <t>Not started</t>
        </is>
      </c>
      <c r="L26" s="19" t="inlineStr">
        <is>
          <t>Raghu</t>
        </is>
      </c>
      <c r="M26" s="19" t="inlineStr">
        <is>
          <t>End with keep-five routine</t>
        </is>
      </c>
    </row>
    <row r="27" ht="44" customHeight="1">
      <c r="B27" s="19" t="inlineStr">
        <is>
          <t>T20</t>
        </is>
      </c>
      <c r="C27" s="19" t="inlineStr">
        <is>
          <t>P0</t>
        </is>
      </c>
      <c r="D27" s="19" t="inlineStr">
        <is>
          <t>Product</t>
        </is>
      </c>
      <c r="E27" s="19" t="inlineStr">
        <is>
          <t>Build Money + Muscle dashboard</t>
        </is>
      </c>
      <c r="F27" s="19" t="inlineStr">
        <is>
          <t>Editable tracker with starting score, weekly review and end score</t>
        </is>
      </c>
      <c r="G27" s="22" t="n">
        <v>45</v>
      </c>
      <c r="H27" s="22" t="n">
        <v>3</v>
      </c>
      <c r="I27" s="19" t="inlineStr">
        <is>
          <t>T14</t>
        </is>
      </c>
      <c r="J27" s="19" t="inlineStr">
        <is>
          <t>Direct</t>
        </is>
      </c>
      <c r="K27" s="22" t="inlineStr">
        <is>
          <t>Not started</t>
        </is>
      </c>
      <c r="L27" s="19" t="inlineStr">
        <is>
          <t>Raghu</t>
        </is>
      </c>
      <c r="M27" s="19" t="inlineStr">
        <is>
          <t>Simple enough for phone/print</t>
        </is>
      </c>
    </row>
    <row r="28" ht="44" customHeight="1">
      <c r="B28" s="19" t="inlineStr">
        <is>
          <t>T21</t>
        </is>
      </c>
      <c r="C28" s="19" t="inlineStr">
        <is>
          <t>P0</t>
        </is>
      </c>
      <c r="D28" s="19" t="inlineStr">
        <is>
          <t>Product</t>
        </is>
      </c>
      <c r="E28" s="19" t="inlineStr">
        <is>
          <t>Build weekly review cards</t>
        </is>
      </c>
      <c r="F28" s="19" t="inlineStr">
        <is>
          <t>Four identical review cards with wins, friction, next minimum</t>
        </is>
      </c>
      <c r="G28" s="22" t="n">
        <v>30</v>
      </c>
      <c r="H28" s="22" t="n">
        <v>3</v>
      </c>
      <c r="I28" s="19" t="inlineStr">
        <is>
          <t>T20</t>
        </is>
      </c>
      <c r="J28" s="19" t="inlineStr">
        <is>
          <t>Direct</t>
        </is>
      </c>
      <c r="K28" s="22" t="inlineStr">
        <is>
          <t>Not started</t>
        </is>
      </c>
      <c r="L28" s="19" t="inlineStr">
        <is>
          <t>Raghu</t>
        </is>
      </c>
      <c r="M28" s="19" t="inlineStr">
        <is>
          <t>Repeatable ritual</t>
        </is>
      </c>
    </row>
    <row r="29" ht="44" customHeight="1">
      <c r="B29" s="19" t="inlineStr">
        <is>
          <t>T22</t>
        </is>
      </c>
      <c r="C29" s="19" t="inlineStr">
        <is>
          <t>P0</t>
        </is>
      </c>
      <c r="D29" s="19" t="inlineStr">
        <is>
          <t>Product</t>
        </is>
      </c>
      <c r="E29" s="19" t="inlineStr">
        <is>
          <t>Build missed-day rescue card</t>
        </is>
      </c>
      <c r="F29" s="19" t="inlineStr">
        <is>
          <t>No restart, no catch-up, do today rule on one printable page</t>
        </is>
      </c>
      <c r="G29" s="22" t="n">
        <v>20</v>
      </c>
      <c r="H29" s="22" t="n">
        <v>3</v>
      </c>
      <c r="I29" s="19" t="inlineStr">
        <is>
          <t>T14</t>
        </is>
      </c>
      <c r="J29" s="19" t="inlineStr">
        <is>
          <t>Direct</t>
        </is>
      </c>
      <c r="K29" s="22" t="inlineStr">
        <is>
          <t>Not started</t>
        </is>
      </c>
      <c r="L29" s="19" t="inlineStr">
        <is>
          <t>Raghu</t>
        </is>
      </c>
      <c r="M29" s="19" t="inlineStr">
        <is>
          <t>Failure-proofing asset</t>
        </is>
      </c>
    </row>
    <row r="30" ht="44" customHeight="1">
      <c r="B30" s="19" t="inlineStr">
        <is>
          <t>T23</t>
        </is>
      </c>
      <c r="C30" s="19" t="inlineStr">
        <is>
          <t>P1</t>
        </is>
      </c>
      <c r="D30" s="19" t="inlineStr">
        <is>
          <t>Product</t>
        </is>
      </c>
      <c r="E30" s="19" t="inlineStr">
        <is>
          <t>Build 7-day quickstart</t>
        </is>
      </c>
      <c r="F30" s="19" t="inlineStr">
        <is>
          <t>Seven highest-leverage actions for impatient buyers</t>
        </is>
      </c>
      <c r="G30" s="22" t="n">
        <v>25</v>
      </c>
      <c r="H30" s="22" t="n">
        <v>3</v>
      </c>
      <c r="I30" s="19" t="inlineStr">
        <is>
          <t>T19</t>
        </is>
      </c>
      <c r="J30" s="19" t="inlineStr">
        <is>
          <t>Direct</t>
        </is>
      </c>
      <c r="K30" s="22" t="inlineStr">
        <is>
          <t>Not started</t>
        </is>
      </c>
      <c r="L30" s="19" t="inlineStr">
        <is>
          <t>Raghu</t>
        </is>
      </c>
      <c r="M30" s="19" t="inlineStr">
        <is>
          <t>Bonus; no duplication</t>
        </is>
      </c>
    </row>
    <row r="31" ht="44" customHeight="1">
      <c r="B31" s="19" t="inlineStr">
        <is>
          <t>T24</t>
        </is>
      </c>
      <c r="C31" s="19" t="inlineStr">
        <is>
          <t>P0</t>
        </is>
      </c>
      <c r="D31" s="19" t="inlineStr">
        <is>
          <t>Product</t>
        </is>
      </c>
      <c r="E31" s="19" t="inlineStr">
        <is>
          <t>Safety and claims pass</t>
        </is>
      </c>
      <c r="F31" s="19" t="inlineStr">
        <is>
          <t>Remove guarantees, investment instructions, cures, unsafe training claims</t>
        </is>
      </c>
      <c r="G31" s="22" t="n">
        <v>25</v>
      </c>
      <c r="H31" s="22" t="n">
        <v>4</v>
      </c>
      <c r="I31" s="19" t="inlineStr">
        <is>
          <t>T19</t>
        </is>
      </c>
      <c r="J31" s="19" t="inlineStr">
        <is>
          <t>Risk</t>
        </is>
      </c>
      <c r="K31" s="22" t="inlineStr">
        <is>
          <t>Not started</t>
        </is>
      </c>
      <c r="L31" s="19" t="inlineStr">
        <is>
          <t>Raghu</t>
        </is>
      </c>
      <c r="M31" s="19" t="inlineStr">
        <is>
          <t>Keep light-touch disclaimer</t>
        </is>
      </c>
    </row>
    <row r="32" ht="44" customHeight="1">
      <c r="B32" s="19" t="inlineStr">
        <is>
          <t>T25</t>
        </is>
      </c>
      <c r="C32" s="19" t="inlineStr">
        <is>
          <t>P0</t>
        </is>
      </c>
      <c r="D32" s="19" t="inlineStr">
        <is>
          <t>Product</t>
        </is>
      </c>
      <c r="E32" s="19" t="inlineStr">
        <is>
          <t>Design and export final files</t>
        </is>
      </c>
      <c r="F32" s="19" t="inlineStr">
        <is>
          <t>Branded PDF + editable tracker + print-friendly cards</t>
        </is>
      </c>
      <c r="G32" s="22" t="n">
        <v>45</v>
      </c>
      <c r="H32" s="22" t="n">
        <v>4</v>
      </c>
      <c r="I32" s="19" t="inlineStr">
        <is>
          <t>T20-T24</t>
        </is>
      </c>
      <c r="J32" s="19" t="inlineStr">
        <is>
          <t>Direct</t>
        </is>
      </c>
      <c r="K32" s="22" t="inlineStr">
        <is>
          <t>Not started</t>
        </is>
      </c>
      <c r="L32" s="19" t="inlineStr">
        <is>
          <t>Raghu</t>
        </is>
      </c>
      <c r="M32" s="19" t="inlineStr">
        <is>
          <t>Black/white/green; readable on phone</t>
        </is>
      </c>
    </row>
    <row r="33" ht="44" customHeight="1">
      <c r="B33" s="19" t="inlineStr">
        <is>
          <t>T26</t>
        </is>
      </c>
      <c r="C33" s="19" t="inlineStr">
        <is>
          <t>P0</t>
        </is>
      </c>
      <c r="D33" s="19" t="inlineStr">
        <is>
          <t>Product</t>
        </is>
      </c>
      <c r="E33" s="19" t="inlineStr">
        <is>
          <t>Audit every page and link</t>
        </is>
      </c>
      <c r="F33" s="19" t="inlineStr">
        <is>
          <t>No missing days, broken links, clipped text or empty pages</t>
        </is>
      </c>
      <c r="G33" s="22" t="n">
        <v>30</v>
      </c>
      <c r="H33" s="22" t="n">
        <v>4</v>
      </c>
      <c r="I33" s="19" t="inlineStr">
        <is>
          <t>T25</t>
        </is>
      </c>
      <c r="J33" s="19" t="inlineStr">
        <is>
          <t>Risk</t>
        </is>
      </c>
      <c r="K33" s="22" t="inlineStr">
        <is>
          <t>Not started</t>
        </is>
      </c>
      <c r="L33" s="19" t="inlineStr">
        <is>
          <t>Raghu</t>
        </is>
      </c>
      <c r="M33" s="19" t="inlineStr">
        <is>
          <t>Buyer-eyes read</t>
        </is>
      </c>
    </row>
    <row r="34" ht="44" customHeight="1">
      <c r="B34" s="19" t="inlineStr">
        <is>
          <t>T27</t>
        </is>
      </c>
      <c r="C34" s="19" t="inlineStr">
        <is>
          <t>P0</t>
        </is>
      </c>
      <c r="D34" s="19" t="inlineStr">
        <is>
          <t>Offer</t>
        </is>
      </c>
      <c r="E34" s="19" t="inlineStr">
        <is>
          <t>Set founding price</t>
        </is>
      </c>
      <c r="F34" s="19" t="inlineStr">
        <is>
          <t>First 25 buyers at $15; auto-change to $19</t>
        </is>
      </c>
      <c r="G34" s="22" t="n">
        <v>10</v>
      </c>
      <c r="H34" s="22" t="n">
        <v>4</v>
      </c>
      <c r="I34" s="19" t="inlineStr">
        <is>
          <t>T25</t>
        </is>
      </c>
      <c r="J34" s="19" t="inlineStr">
        <is>
          <t>Direct</t>
        </is>
      </c>
      <c r="K34" s="22" t="inlineStr">
        <is>
          <t>Not started</t>
        </is>
      </c>
      <c r="L34" s="19" t="inlineStr">
        <is>
          <t>Raghu</t>
        </is>
      </c>
      <c r="M34" s="19" t="inlineStr">
        <is>
          <t>Do not discount forever</t>
        </is>
      </c>
    </row>
    <row r="35" ht="44" customHeight="1">
      <c r="B35" s="19" t="inlineStr">
        <is>
          <t>T28</t>
        </is>
      </c>
      <c r="C35" s="19" t="inlineStr">
        <is>
          <t>P1</t>
        </is>
      </c>
      <c r="D35" s="19" t="inlineStr">
        <is>
          <t>Offer</t>
        </is>
      </c>
      <c r="E35" s="19" t="inlineStr">
        <is>
          <t>Define future $27 bundle gate</t>
        </is>
      </c>
      <c r="F35" s="19" t="inlineStr">
        <is>
          <t>Only build after 10 sales and 5 buyer replies</t>
        </is>
      </c>
      <c r="G35" s="22" t="n">
        <v>15</v>
      </c>
      <c r="H35" s="22" t="n">
        <v>4</v>
      </c>
      <c r="I35" s="19" t="inlineStr">
        <is>
          <t>T27</t>
        </is>
      </c>
      <c r="J35" s="19" t="inlineStr">
        <is>
          <t>Leverage</t>
        </is>
      </c>
      <c r="K35" s="22" t="inlineStr">
        <is>
          <t>Not started</t>
        </is>
      </c>
      <c r="L35" s="19" t="inlineStr">
        <is>
          <t>Raghu</t>
        </is>
      </c>
      <c r="M35" s="19" t="inlineStr">
        <is>
          <t>Prevents premature catalog sprawl</t>
        </is>
      </c>
    </row>
    <row r="36" ht="44" customHeight="1">
      <c r="B36" s="19" t="inlineStr">
        <is>
          <t>T29</t>
        </is>
      </c>
      <c r="C36" s="19" t="inlineStr">
        <is>
          <t>P0</t>
        </is>
      </c>
      <c r="D36" s="19" t="inlineStr">
        <is>
          <t>Funnel</t>
        </is>
      </c>
      <c r="E36" s="19" t="inlineStr">
        <is>
          <t>Create lead magnet</t>
        </is>
      </c>
      <c r="F36" s="19" t="inlineStr">
        <is>
          <t>7-Day Money + Muscle Reset scorecard exported and tested</t>
        </is>
      </c>
      <c r="G36" s="22" t="n">
        <v>45</v>
      </c>
      <c r="H36" s="22" t="n">
        <v>2</v>
      </c>
      <c r="I36" s="19" t="inlineStr">
        <is>
          <t>T13</t>
        </is>
      </c>
      <c r="J36" s="19" t="inlineStr">
        <is>
          <t>Leads</t>
        </is>
      </c>
      <c r="K36" s="22" t="inlineStr">
        <is>
          <t>Not started</t>
        </is>
      </c>
      <c r="L36" s="19" t="inlineStr">
        <is>
          <t>Raghu</t>
        </is>
      </c>
      <c r="M36" s="19" t="inlineStr">
        <is>
          <t>One-page scorecard + seven actions</t>
        </is>
      </c>
    </row>
    <row r="37" ht="44" customHeight="1">
      <c r="B37" s="19" t="inlineStr">
        <is>
          <t>T30</t>
        </is>
      </c>
      <c r="C37" s="19" t="inlineStr">
        <is>
          <t>P0</t>
        </is>
      </c>
      <c r="D37" s="19" t="inlineStr">
        <is>
          <t>Funnel</t>
        </is>
      </c>
      <c r="E37" s="19" t="inlineStr">
        <is>
          <t>Open Kit free account</t>
        </is>
      </c>
      <c r="F37" s="19" t="inlineStr">
        <is>
          <t>Sender details, domain and brand basics complete</t>
        </is>
      </c>
      <c r="G37" s="22" t="n">
        <v>15</v>
      </c>
      <c r="H37" s="22" t="n">
        <v>2</v>
      </c>
      <c r="I37" s="19" t="inlineStr">
        <is>
          <t>T05</t>
        </is>
      </c>
      <c r="J37" s="19" t="inlineStr">
        <is>
          <t>Leads</t>
        </is>
      </c>
      <c r="K37" s="22" t="inlineStr">
        <is>
          <t>Not started</t>
        </is>
      </c>
      <c r="L37" s="19" t="inlineStr">
        <is>
          <t>Raghu</t>
        </is>
      </c>
      <c r="M37" s="19" t="inlineStr">
        <is>
          <t>Free landing pages and broadcasts</t>
        </is>
      </c>
    </row>
    <row r="38" ht="44" customHeight="1">
      <c r="B38" s="19" t="inlineStr">
        <is>
          <t>T31</t>
        </is>
      </c>
      <c r="C38" s="19" t="inlineStr">
        <is>
          <t>P0</t>
        </is>
      </c>
      <c r="D38" s="19" t="inlineStr">
        <is>
          <t>Funnel</t>
        </is>
      </c>
      <c r="E38" s="19" t="inlineStr">
        <is>
          <t>Build opt-in landing page</t>
        </is>
      </c>
      <c r="F38" s="19" t="inlineStr">
        <is>
          <t>Promise, 3 bullets, email field, privacy link, thank-you CTA</t>
        </is>
      </c>
      <c r="G38" s="22" t="n">
        <v>35</v>
      </c>
      <c r="H38" s="22" t="n">
        <v>2</v>
      </c>
      <c r="I38" s="19" t="inlineStr">
        <is>
          <t>T29-T30</t>
        </is>
      </c>
      <c r="J38" s="19" t="inlineStr">
        <is>
          <t>Leads</t>
        </is>
      </c>
      <c r="K38" s="22" t="inlineStr">
        <is>
          <t>Not started</t>
        </is>
      </c>
      <c r="L38" s="19" t="inlineStr">
        <is>
          <t>Raghu</t>
        </is>
      </c>
      <c r="M38" s="19" t="inlineStr">
        <is>
          <t>No website needed</t>
        </is>
      </c>
    </row>
    <row r="39" ht="44" customHeight="1">
      <c r="B39" s="19" t="inlineStr">
        <is>
          <t>T32</t>
        </is>
      </c>
      <c r="C39" s="19" t="inlineStr">
        <is>
          <t>P0</t>
        </is>
      </c>
      <c r="D39" s="19" t="inlineStr">
        <is>
          <t>Funnel</t>
        </is>
      </c>
      <c r="E39" s="19" t="inlineStr">
        <is>
          <t>Write 3-email welcome sequence</t>
        </is>
      </c>
      <c r="F39" s="19" t="inlineStr">
        <is>
          <t>Deliver; teach one win; present founding offer</t>
        </is>
      </c>
      <c r="G39" s="22" t="n">
        <v>70</v>
      </c>
      <c r="H39" s="22" t="n">
        <v>7</v>
      </c>
      <c r="I39" s="19" t="inlineStr">
        <is>
          <t>T31</t>
        </is>
      </c>
      <c r="J39" s="19" t="inlineStr">
        <is>
          <t>Direct</t>
        </is>
      </c>
      <c r="K39" s="22" t="inlineStr">
        <is>
          <t>Not started</t>
        </is>
      </c>
      <c r="L39" s="19" t="inlineStr">
        <is>
          <t>Raghu</t>
        </is>
      </c>
      <c r="M39" s="19" t="inlineStr">
        <is>
          <t>One CTA/email</t>
        </is>
      </c>
    </row>
    <row r="40" ht="44" customHeight="1">
      <c r="B40" s="19" t="inlineStr">
        <is>
          <t>T33</t>
        </is>
      </c>
      <c r="C40" s="19" t="inlineStr">
        <is>
          <t>P0</t>
        </is>
      </c>
      <c r="D40" s="19" t="inlineStr">
        <is>
          <t>Funnel</t>
        </is>
      </c>
      <c r="E40" s="19" t="inlineStr">
        <is>
          <t>Write sales page</t>
        </is>
      </c>
      <c r="F40" s="19" t="inlineStr">
        <is>
          <t>Headline, pain, outcome, contents, preview, FAQ, price, CTA</t>
        </is>
      </c>
      <c r="G40" s="22" t="n">
        <v>45</v>
      </c>
      <c r="H40" s="22" t="n">
        <v>1</v>
      </c>
      <c r="I40" s="19" t="inlineStr">
        <is>
          <t>T13</t>
        </is>
      </c>
      <c r="J40" s="19" t="inlineStr">
        <is>
          <t>Direct</t>
        </is>
      </c>
      <c r="K40" s="22" t="inlineStr">
        <is>
          <t>Not started</t>
        </is>
      </c>
      <c r="L40" s="19" t="inlineStr">
        <is>
          <t>Raghu</t>
        </is>
      </c>
      <c r="M40" s="19" t="inlineStr">
        <is>
          <t>Use copy in Product &amp; Funnel</t>
        </is>
      </c>
    </row>
    <row r="41" ht="44" customHeight="1">
      <c r="B41" s="19" t="inlineStr">
        <is>
          <t>T34</t>
        </is>
      </c>
      <c r="C41" s="19" t="inlineStr">
        <is>
          <t>P0</t>
        </is>
      </c>
      <c r="D41" s="19" t="inlineStr">
        <is>
          <t>Funnel</t>
        </is>
      </c>
      <c r="E41" s="19" t="inlineStr">
        <is>
          <t>Upload product and previews</t>
        </is>
      </c>
      <c r="F41" s="19" t="inlineStr">
        <is>
          <t>Files, 3 preview images, cover, copy and checkout settings live</t>
        </is>
      </c>
      <c r="G41" s="22" t="n">
        <v>35</v>
      </c>
      <c r="H41" s="22" t="n">
        <v>4</v>
      </c>
      <c r="I41" s="19" t="inlineStr">
        <is>
          <t>T25,T33</t>
        </is>
      </c>
      <c r="J41" s="19" t="inlineStr">
        <is>
          <t>Direct</t>
        </is>
      </c>
      <c r="K41" s="22" t="inlineStr">
        <is>
          <t>Not started</t>
        </is>
      </c>
      <c r="L41" s="19" t="inlineStr">
        <is>
          <t>Raghu</t>
        </is>
      </c>
      <c r="M41" s="19" t="inlineStr">
        <is>
          <t>Preview utility, not page count</t>
        </is>
      </c>
    </row>
    <row r="42" ht="44" customHeight="1">
      <c r="B42" s="19" t="inlineStr">
        <is>
          <t>T35</t>
        </is>
      </c>
      <c r="C42" s="19" t="inlineStr">
        <is>
          <t>P0</t>
        </is>
      </c>
      <c r="D42" s="19" t="inlineStr">
        <is>
          <t>Funnel</t>
        </is>
      </c>
      <c r="E42" s="19" t="inlineStr">
        <is>
          <t>QA all links from bios</t>
        </is>
      </c>
      <c r="F42" s="19" t="inlineStr">
        <is>
          <t>X and IG bio &gt; landing/product &gt; checkout &gt; delivery works on mobile</t>
        </is>
      </c>
      <c r="G42" s="22" t="n">
        <v>20</v>
      </c>
      <c r="H42" s="22" t="n">
        <v>4</v>
      </c>
      <c r="I42" s="19" t="inlineStr">
        <is>
          <t>T31,T34</t>
        </is>
      </c>
      <c r="J42" s="19" t="inlineStr">
        <is>
          <t>Direct</t>
        </is>
      </c>
      <c r="K42" s="22" t="inlineStr">
        <is>
          <t>Not started</t>
        </is>
      </c>
      <c r="L42" s="19" t="inlineStr">
        <is>
          <t>Raghu</t>
        </is>
      </c>
      <c r="M42" s="19" t="inlineStr">
        <is>
          <t>Use tagged links</t>
        </is>
      </c>
    </row>
    <row r="43" ht="44" customHeight="1">
      <c r="B43" s="19" t="inlineStr">
        <is>
          <t>T36</t>
        </is>
      </c>
      <c r="C43" s="19" t="inlineStr">
        <is>
          <t>P1</t>
        </is>
      </c>
      <c r="D43" s="19" t="inlineStr">
        <is>
          <t>Funnel</t>
        </is>
      </c>
      <c r="E43" s="19" t="inlineStr">
        <is>
          <t>Write buyer onboarding email</t>
        </is>
      </c>
      <c r="F43" s="19" t="inlineStr">
        <is>
          <t>How to start in 10 minutes; where files are; support email</t>
        </is>
      </c>
      <c r="G43" s="22" t="n">
        <v>20</v>
      </c>
      <c r="H43" s="22" t="n">
        <v>4</v>
      </c>
      <c r="I43" s="19" t="inlineStr">
        <is>
          <t>T34</t>
        </is>
      </c>
      <c r="J43" s="19" t="inlineStr">
        <is>
          <t>Risk</t>
        </is>
      </c>
      <c r="K43" s="22" t="inlineStr">
        <is>
          <t>Not started</t>
        </is>
      </c>
      <c r="L43" s="19" t="inlineStr">
        <is>
          <t>Raghu</t>
        </is>
      </c>
      <c r="M43" s="19" t="inlineStr">
        <is>
          <t>Reduce refunds</t>
        </is>
      </c>
    </row>
    <row r="44" ht="44" customHeight="1">
      <c r="B44" s="19" t="inlineStr">
        <is>
          <t>T37</t>
        </is>
      </c>
      <c r="C44" s="19" t="inlineStr">
        <is>
          <t>P1</t>
        </is>
      </c>
      <c r="D44" s="19" t="inlineStr">
        <is>
          <t>Funnel</t>
        </is>
      </c>
      <c r="E44" s="19" t="inlineStr">
        <is>
          <t>Write review request</t>
        </is>
      </c>
      <c r="F44" s="19" t="inlineStr">
        <is>
          <t>Send on Day 7: one result, one friction, permission to quote</t>
        </is>
      </c>
      <c r="G44" s="22" t="n">
        <v>15</v>
      </c>
      <c r="H44" s="22" t="n">
        <v>5</v>
      </c>
      <c r="I44" s="19" t="inlineStr">
        <is>
          <t>T36</t>
        </is>
      </c>
      <c r="J44" s="19" t="inlineStr">
        <is>
          <t>Proof</t>
        </is>
      </c>
      <c r="K44" s="22" t="inlineStr">
        <is>
          <t>Not started</t>
        </is>
      </c>
      <c r="L44" s="19" t="inlineStr">
        <is>
          <t>Raghu</t>
        </is>
      </c>
      <c r="M44" s="19" t="inlineStr">
        <is>
          <t>Never manufacture testimonials</t>
        </is>
      </c>
    </row>
    <row r="45" ht="44" customHeight="1">
      <c r="B45" s="19" t="inlineStr">
        <is>
          <t>T38</t>
        </is>
      </c>
      <c r="C45" s="19" t="inlineStr">
        <is>
          <t>P0</t>
        </is>
      </c>
      <c r="D45" s="19" t="inlineStr">
        <is>
          <t>Content</t>
        </is>
      </c>
      <c r="E45" s="19" t="inlineStr">
        <is>
          <t>Create two reusable carousel templates</t>
        </is>
      </c>
      <c r="F45" s="19" t="inlineStr">
        <is>
          <t>7-slide money, muscle and crossover layouts ready</t>
        </is>
      </c>
      <c r="G45" s="22" t="n">
        <v>45</v>
      </c>
      <c r="H45" s="22" t="n">
        <v>1</v>
      </c>
      <c r="I45" s="19" t="inlineStr">
        <is>
          <t>None</t>
        </is>
      </c>
      <c r="J45" s="19" t="inlineStr">
        <is>
          <t>Leads</t>
        </is>
      </c>
      <c r="K45" s="22" t="inlineStr">
        <is>
          <t>Not started</t>
        </is>
      </c>
      <c r="L45" s="19" t="inlineStr">
        <is>
          <t>Raghu</t>
        </is>
      </c>
      <c r="M45" s="19" t="inlineStr">
        <is>
          <t>Use locked brand palette</t>
        </is>
      </c>
    </row>
    <row r="46" ht="44" customHeight="1">
      <c r="B46" s="19" t="inlineStr">
        <is>
          <t>T39</t>
        </is>
      </c>
      <c r="C46" s="19" t="inlineStr">
        <is>
          <t>P0</t>
        </is>
      </c>
      <c r="D46" s="19" t="inlineStr">
        <is>
          <t>Content</t>
        </is>
      </c>
      <c r="E46" s="19" t="inlineStr">
        <is>
          <t>Batch Week 1 content</t>
        </is>
      </c>
      <c r="F46" s="19" t="inlineStr">
        <is>
          <t>C01 and C02 rendered, X variants scheduled</t>
        </is>
      </c>
      <c r="G46" s="22" t="n">
        <v>45</v>
      </c>
      <c r="H46" s="22" t="n">
        <v>1</v>
      </c>
      <c r="I46" s="19" t="inlineStr">
        <is>
          <t>T38</t>
        </is>
      </c>
      <c r="J46" s="19" t="inlineStr">
        <is>
          <t>Leads</t>
        </is>
      </c>
      <c r="K46" s="22" t="inlineStr">
        <is>
          <t>Not started</t>
        </is>
      </c>
      <c r="L46" s="19" t="inlineStr">
        <is>
          <t>Raghu</t>
        </is>
      </c>
      <c r="M46" s="19" t="inlineStr">
        <is>
          <t>First slide = hook</t>
        </is>
      </c>
    </row>
    <row r="47" ht="44" customHeight="1">
      <c r="B47" s="19" t="inlineStr">
        <is>
          <t>T40</t>
        </is>
      </c>
      <c r="C47" s="19" t="inlineStr">
        <is>
          <t>P0</t>
        </is>
      </c>
      <c r="D47" s="19" t="inlineStr">
        <is>
          <t>Content</t>
        </is>
      </c>
      <c r="E47" s="19" t="inlineStr">
        <is>
          <t>Schedule recurring two-idea batch</t>
        </is>
      </c>
      <c r="F47" s="19" t="inlineStr">
        <is>
          <t>Calendar block repeats weekly for 13 weeks</t>
        </is>
      </c>
      <c r="G47" s="22" t="n">
        <v>10</v>
      </c>
      <c r="H47" s="22" t="n">
        <v>1</v>
      </c>
      <c r="I47" s="19" t="inlineStr">
        <is>
          <t>None</t>
        </is>
      </c>
      <c r="J47" s="19" t="inlineStr">
        <is>
          <t>Leads</t>
        </is>
      </c>
      <c r="K47" s="22" t="inlineStr">
        <is>
          <t>Not started</t>
        </is>
      </c>
      <c r="L47" s="19" t="inlineStr">
        <is>
          <t>Raghu</t>
        </is>
      </c>
      <c r="M47" s="19" t="inlineStr">
        <is>
          <t>One source idea, three outputs</t>
        </is>
      </c>
    </row>
    <row r="48" ht="44" customHeight="1">
      <c r="B48" s="19" t="inlineStr">
        <is>
          <t>T41</t>
        </is>
      </c>
      <c r="C48" s="19" t="inlineStr">
        <is>
          <t>P0</t>
        </is>
      </c>
      <c r="D48" s="19" t="inlineStr">
        <is>
          <t>Content</t>
        </is>
      </c>
      <c r="E48" s="19" t="inlineStr">
        <is>
          <t>Create CTA rotation</t>
        </is>
      </c>
      <c r="F48" s="19" t="inlineStr">
        <is>
          <t>Lead magnet, reply keyword, product, proof CTAs saved</t>
        </is>
      </c>
      <c r="G48" s="22" t="n">
        <v>15</v>
      </c>
      <c r="H48" s="22" t="n">
        <v>1</v>
      </c>
      <c r="I48" s="19" t="inlineStr">
        <is>
          <t>T33</t>
        </is>
      </c>
      <c r="J48" s="19" t="inlineStr">
        <is>
          <t>Direct</t>
        </is>
      </c>
      <c r="K48" s="22" t="inlineStr">
        <is>
          <t>Not started</t>
        </is>
      </c>
      <c r="L48" s="19" t="inlineStr">
        <is>
          <t>Raghu</t>
        </is>
      </c>
      <c r="M48" s="19" t="inlineStr">
        <is>
          <t>No “link in bio” on every post</t>
        </is>
      </c>
    </row>
    <row r="49" ht="44" customHeight="1">
      <c r="B49" s="19" t="inlineStr">
        <is>
          <t>T42</t>
        </is>
      </c>
      <c r="C49" s="19" t="inlineStr">
        <is>
          <t>P0</t>
        </is>
      </c>
      <c r="D49" s="19" t="inlineStr">
        <is>
          <t>Content</t>
        </is>
      </c>
      <c r="E49" s="19" t="inlineStr">
        <is>
          <t>Run 3x10-minute reply blocks weekly</t>
        </is>
      </c>
      <c r="F49" s="19" t="inlineStr">
        <is>
          <t>Reply to target-audience conversations with useful specifics</t>
        </is>
      </c>
      <c r="G49" s="22" t="n">
        <v>390</v>
      </c>
      <c r="H49" s="22" t="n">
        <v>13</v>
      </c>
      <c r="I49" s="19" t="inlineStr">
        <is>
          <t>None</t>
        </is>
      </c>
      <c r="J49" s="19" t="inlineStr">
        <is>
          <t>Leads</t>
        </is>
      </c>
      <c r="K49" s="22" t="inlineStr">
        <is>
          <t>Not started</t>
        </is>
      </c>
      <c r="L49" s="19" t="inlineStr">
        <is>
          <t>Raghu</t>
        </is>
      </c>
      <c r="M49" s="19" t="inlineStr">
        <is>
          <t>30 min/week total</t>
        </is>
      </c>
    </row>
    <row r="50" ht="44" customHeight="1">
      <c r="B50" s="19" t="inlineStr">
        <is>
          <t>T43</t>
        </is>
      </c>
      <c r="C50" s="19" t="inlineStr">
        <is>
          <t>P1</t>
        </is>
      </c>
      <c r="D50" s="19" t="inlineStr">
        <is>
          <t>Content</t>
        </is>
      </c>
      <c r="E50" s="19" t="inlineStr">
        <is>
          <t>Archive winners monthly</t>
        </is>
      </c>
      <c r="F50" s="19" t="inlineStr">
        <is>
          <t>Save top hooks by profile visits, leads and sales</t>
        </is>
      </c>
      <c r="G50" s="22" t="n">
        <v>30</v>
      </c>
      <c r="H50" s="22" t="n">
        <v>13</v>
      </c>
      <c r="I50" s="19" t="inlineStr">
        <is>
          <t>Metrics</t>
        </is>
      </c>
      <c r="J50" s="19" t="inlineStr">
        <is>
          <t>Leverage</t>
        </is>
      </c>
      <c r="K50" s="22" t="inlineStr">
        <is>
          <t>Not started</t>
        </is>
      </c>
      <c r="L50" s="19" t="inlineStr">
        <is>
          <t>Raghu</t>
        </is>
      </c>
      <c r="M50" s="19" t="inlineStr">
        <is>
          <t>Likes are secondary</t>
        </is>
      </c>
    </row>
    <row r="51" ht="44" customHeight="1">
      <c r="B51" s="19" t="inlineStr">
        <is>
          <t>T44</t>
        </is>
      </c>
      <c r="C51" s="19" t="inlineStr">
        <is>
          <t>P0</t>
        </is>
      </c>
      <c r="D51" s="19" t="inlineStr">
        <is>
          <t>Analytics</t>
        </is>
      </c>
      <c r="E51" s="19" t="inlineStr">
        <is>
          <t>Create weekly scorecard</t>
        </is>
      </c>
      <c r="F51" s="19" t="inlineStr">
        <is>
          <t>Metrics sheet updated every week in under 10 minutes</t>
        </is>
      </c>
      <c r="G51" s="22" t="n">
        <v>15</v>
      </c>
      <c r="H51" s="22" t="n">
        <v>1</v>
      </c>
      <c r="I51" s="19" t="inlineStr">
        <is>
          <t>None</t>
        </is>
      </c>
      <c r="J51" s="19" t="inlineStr">
        <is>
          <t>Leverage</t>
        </is>
      </c>
      <c r="K51" s="22" t="inlineStr">
        <is>
          <t>Not started</t>
        </is>
      </c>
      <c r="L51" s="19" t="inlineStr">
        <is>
          <t>Raghu</t>
        </is>
      </c>
      <c r="M51" s="19" t="inlineStr">
        <is>
          <t>Use platform insights and checkout data</t>
        </is>
      </c>
    </row>
    <row r="52" ht="44" customHeight="1">
      <c r="B52" s="19" t="inlineStr">
        <is>
          <t>T45</t>
        </is>
      </c>
      <c r="C52" s="19" t="inlineStr">
        <is>
          <t>P0</t>
        </is>
      </c>
      <c r="D52" s="19" t="inlineStr">
        <is>
          <t>Analytics</t>
        </is>
      </c>
      <c r="E52" s="19" t="inlineStr">
        <is>
          <t>Add UTM/link labels</t>
        </is>
      </c>
      <c r="F52" s="19" t="inlineStr">
        <is>
          <t>Separate X, Instagram, email, partner and paid traffic</t>
        </is>
      </c>
      <c r="G52" s="22" t="n">
        <v>20</v>
      </c>
      <c r="H52" s="22" t="n">
        <v>4</v>
      </c>
      <c r="I52" s="19" t="inlineStr">
        <is>
          <t>T35</t>
        </is>
      </c>
      <c r="J52" s="19" t="inlineStr">
        <is>
          <t>Leverage</t>
        </is>
      </c>
      <c r="K52" s="22" t="inlineStr">
        <is>
          <t>Not started</t>
        </is>
      </c>
      <c r="L52" s="19" t="inlineStr">
        <is>
          <t>Raghu</t>
        </is>
      </c>
      <c r="M52" s="19" t="inlineStr">
        <is>
          <t>Consistent naming</t>
        </is>
      </c>
    </row>
    <row r="53" ht="44" customHeight="1">
      <c r="B53" s="19" t="inlineStr">
        <is>
          <t>T46</t>
        </is>
      </c>
      <c r="C53" s="19" t="inlineStr">
        <is>
          <t>P0</t>
        </is>
      </c>
      <c r="D53" s="19" t="inlineStr">
        <is>
          <t>Launch</t>
        </is>
      </c>
      <c r="E53" s="19" t="inlineStr">
        <is>
          <t>Soft-launch to warm contacts</t>
        </is>
      </c>
      <c r="F53" s="19" t="inlineStr">
        <is>
          <t>Personal note sent to 15 relevant people; no spam blast</t>
        </is>
      </c>
      <c r="G53" s="22" t="n">
        <v>45</v>
      </c>
      <c r="H53" s="22" t="n">
        <v>4</v>
      </c>
      <c r="I53" s="19" t="inlineStr">
        <is>
          <t>T34-T35</t>
        </is>
      </c>
      <c r="J53" s="19" t="inlineStr">
        <is>
          <t>Direct</t>
        </is>
      </c>
      <c r="K53" s="22" t="inlineStr">
        <is>
          <t>Not started</t>
        </is>
      </c>
      <c r="L53" s="19" t="inlineStr">
        <is>
          <t>Raghu</t>
        </is>
      </c>
      <c r="M53" s="19" t="inlineStr">
        <is>
          <t>Ask for buy or honest objection</t>
        </is>
      </c>
    </row>
    <row r="54" ht="44" customHeight="1">
      <c r="B54" s="19" t="inlineStr">
        <is>
          <t>T47</t>
        </is>
      </c>
      <c r="C54" s="19" t="inlineStr">
        <is>
          <t>P0</t>
        </is>
      </c>
      <c r="D54" s="19" t="inlineStr">
        <is>
          <t>Launch</t>
        </is>
      </c>
      <c r="E54" s="19" t="inlineStr">
        <is>
          <t>Run founding 3-day launch</t>
        </is>
      </c>
      <c r="F54" s="19" t="inlineStr">
        <is>
          <t>Problem post, preview post, deadline post</t>
        </is>
      </c>
      <c r="G54" s="22" t="n">
        <v>60</v>
      </c>
      <c r="H54" s="22" t="n">
        <v>5</v>
      </c>
      <c r="I54" s="19" t="inlineStr">
        <is>
          <t>T46</t>
        </is>
      </c>
      <c r="J54" s="19" t="inlineStr">
        <is>
          <t>Direct</t>
        </is>
      </c>
      <c r="K54" s="22" t="inlineStr">
        <is>
          <t>Not started</t>
        </is>
      </c>
      <c r="L54" s="19" t="inlineStr">
        <is>
          <t>Raghu</t>
        </is>
      </c>
      <c r="M54" s="19" t="inlineStr">
        <is>
          <t>Close or raise price as promised</t>
        </is>
      </c>
    </row>
    <row r="55" ht="44" customHeight="1">
      <c r="B55" s="19" t="inlineStr">
        <is>
          <t>T48</t>
        </is>
      </c>
      <c r="C55" s="19" t="inlineStr">
        <is>
          <t>P0</t>
        </is>
      </c>
      <c r="D55" s="19" t="inlineStr">
        <is>
          <t>Launch</t>
        </is>
      </c>
      <c r="E55" s="19" t="inlineStr">
        <is>
          <t>Answer objections publicly</t>
        </is>
      </c>
      <c r="F55" s="19" t="inlineStr">
        <is>
          <t>Turn repeated questions into FAQ content</t>
        </is>
      </c>
      <c r="G55" s="22" t="n">
        <v>30</v>
      </c>
      <c r="H55" s="22" t="n">
        <v>5</v>
      </c>
      <c r="I55" s="19" t="inlineStr">
        <is>
          <t>T47</t>
        </is>
      </c>
      <c r="J55" s="19" t="inlineStr">
        <is>
          <t>Direct</t>
        </is>
      </c>
      <c r="K55" s="22" t="inlineStr">
        <is>
          <t>Not started</t>
        </is>
      </c>
      <c r="L55" s="19" t="inlineStr">
        <is>
          <t>Raghu</t>
        </is>
      </c>
      <c r="M55" s="19" t="inlineStr">
        <is>
          <t>Never argue in DMs</t>
        </is>
      </c>
    </row>
    <row r="56" ht="44" customHeight="1">
      <c r="B56" s="19" t="inlineStr">
        <is>
          <t>T49</t>
        </is>
      </c>
      <c r="C56" s="19" t="inlineStr">
        <is>
          <t>P1</t>
        </is>
      </c>
      <c r="D56" s="19" t="inlineStr">
        <is>
          <t>Partnerships</t>
        </is>
      </c>
      <c r="E56" s="19" t="inlineStr">
        <is>
          <t>Build micro-partner list</t>
        </is>
      </c>
      <c r="F56" s="19" t="inlineStr">
        <is>
          <t>25 Indian/NRI money, fitness, career, parenting creators/newsletters</t>
        </is>
      </c>
      <c r="G56" s="22" t="n">
        <v>45</v>
      </c>
      <c r="H56" s="22" t="n">
        <v>6</v>
      </c>
      <c r="I56" s="19" t="inlineStr">
        <is>
          <t>None</t>
        </is>
      </c>
      <c r="J56" s="19" t="inlineStr">
        <is>
          <t>Leverage</t>
        </is>
      </c>
      <c r="K56" s="22" t="inlineStr">
        <is>
          <t>Not started</t>
        </is>
      </c>
      <c r="L56" s="19" t="inlineStr">
        <is>
          <t>Raghu</t>
        </is>
      </c>
      <c r="M56" s="19" t="inlineStr">
        <is>
          <t>Prefer 1k–50k engaged audiences</t>
        </is>
      </c>
    </row>
    <row r="57" ht="44" customHeight="1">
      <c r="B57" s="19" t="inlineStr">
        <is>
          <t>T50</t>
        </is>
      </c>
      <c r="C57" s="19" t="inlineStr">
        <is>
          <t>P1</t>
        </is>
      </c>
      <c r="D57" s="19" t="inlineStr">
        <is>
          <t>Partnerships</t>
        </is>
      </c>
      <c r="E57" s="19" t="inlineStr">
        <is>
          <t>Send 5 tailored pitches/week</t>
        </is>
      </c>
      <c r="F57" s="19" t="inlineStr">
        <is>
          <t>One relevant reason, one preview, one clear ask</t>
        </is>
      </c>
      <c r="G57" s="22" t="n">
        <v>140</v>
      </c>
      <c r="H57" s="22" t="n">
        <v>13</v>
      </c>
      <c r="I57" s="19" t="inlineStr">
        <is>
          <t>T49</t>
        </is>
      </c>
      <c r="J57" s="19" t="inlineStr">
        <is>
          <t>Leverage</t>
        </is>
      </c>
      <c r="K57" s="22" t="inlineStr">
        <is>
          <t>Not started</t>
        </is>
      </c>
      <c r="L57" s="19" t="inlineStr">
        <is>
          <t>Raghu</t>
        </is>
      </c>
      <c r="M57" s="19" t="inlineStr">
        <is>
          <t>Track responses</t>
        </is>
      </c>
    </row>
    <row r="58" ht="44" customHeight="1">
      <c r="B58" s="19" t="inlineStr">
        <is>
          <t>T51</t>
        </is>
      </c>
      <c r="C58" s="19" t="inlineStr">
        <is>
          <t>P1</t>
        </is>
      </c>
      <c r="D58" s="19" t="inlineStr">
        <is>
          <t>Partnerships</t>
        </is>
      </c>
      <c r="E58" s="19" t="inlineStr">
        <is>
          <t>Set affiliate pilot</t>
        </is>
      </c>
      <c r="F58" s="19" t="inlineStr">
        <is>
          <t>30% commission for approved partners; swipe kit supplied</t>
        </is>
      </c>
      <c r="G58" s="22" t="n">
        <v>30</v>
      </c>
      <c r="H58" s="22" t="n">
        <v>8</v>
      </c>
      <c r="I58" s="19" t="inlineStr">
        <is>
          <t>T49,10 sales</t>
        </is>
      </c>
      <c r="J58" s="19" t="inlineStr">
        <is>
          <t>Leverage</t>
        </is>
      </c>
      <c r="K58" s="22" t="inlineStr">
        <is>
          <t>Not started</t>
        </is>
      </c>
      <c r="L58" s="19" t="inlineStr">
        <is>
          <t>Raghu</t>
        </is>
      </c>
      <c r="M58" s="19" t="inlineStr">
        <is>
          <t>Start manually with 2 partners</t>
        </is>
      </c>
    </row>
    <row r="59" ht="44" customHeight="1">
      <c r="B59" s="19" t="inlineStr">
        <is>
          <t>T52</t>
        </is>
      </c>
      <c r="C59" s="19" t="inlineStr">
        <is>
          <t>P1</t>
        </is>
      </c>
      <c r="D59" s="19" t="inlineStr">
        <is>
          <t>Paid growth</t>
        </is>
      </c>
      <c r="E59" s="19" t="inlineStr">
        <is>
          <t>Create $35 paid-test brief</t>
        </is>
      </c>
      <c r="F59" s="19" t="inlineStr">
        <is>
          <t>Use only proven organic creative; lead magnet objective; stop rule</t>
        </is>
      </c>
      <c r="G59" s="22" t="n">
        <v>25</v>
      </c>
      <c r="H59" s="22" t="n">
        <v>10</v>
      </c>
      <c r="I59" s="19" t="inlineStr">
        <is>
          <t>Gate 3</t>
        </is>
      </c>
      <c r="J59" s="19" t="inlineStr">
        <is>
          <t>Leverage</t>
        </is>
      </c>
      <c r="K59" s="22" t="inlineStr">
        <is>
          <t>Not started</t>
        </is>
      </c>
      <c r="L59" s="19" t="inlineStr">
        <is>
          <t>Raghu</t>
        </is>
      </c>
      <c r="M59" s="19" t="inlineStr">
        <is>
          <t>No cold product ads before proof</t>
        </is>
      </c>
    </row>
    <row r="60" ht="44" customHeight="1">
      <c r="B60" s="19" t="inlineStr">
        <is>
          <t>T53</t>
        </is>
      </c>
      <c r="C60" s="19" t="inlineStr">
        <is>
          <t>P1</t>
        </is>
      </c>
      <c r="D60" s="19" t="inlineStr">
        <is>
          <t>Paid growth</t>
        </is>
      </c>
      <c r="E60" s="19" t="inlineStr">
        <is>
          <t>Run and stop/scale paid test</t>
        </is>
      </c>
      <c r="F60" s="19" t="inlineStr">
        <is>
          <t>Seven-day max; record spend, leads, sales and follow-on revenue</t>
        </is>
      </c>
      <c r="G60" s="22" t="n">
        <v>35</v>
      </c>
      <c r="H60" s="22" t="n">
        <v>10</v>
      </c>
      <c r="I60" s="19" t="inlineStr">
        <is>
          <t>T52</t>
        </is>
      </c>
      <c r="J60" s="19" t="inlineStr">
        <is>
          <t>Leverage</t>
        </is>
      </c>
      <c r="K60" s="22" t="inlineStr">
        <is>
          <t>Not started</t>
        </is>
      </c>
      <c r="L60" s="19" t="inlineStr">
        <is>
          <t>Raghu</t>
        </is>
      </c>
      <c r="M60" s="19" t="inlineStr">
        <is>
          <t>Stop if no quality leads after first $15</t>
        </is>
      </c>
    </row>
    <row r="61" ht="44" customHeight="1">
      <c r="B61" s="19" t="inlineStr">
        <is>
          <t>T54</t>
        </is>
      </c>
      <c r="C61" s="19" t="inlineStr">
        <is>
          <t>P0</t>
        </is>
      </c>
      <c r="D61" s="19" t="inlineStr">
        <is>
          <t>Customer success</t>
        </is>
      </c>
      <c r="E61" s="19" t="inlineStr">
        <is>
          <t>Reply to support weekly</t>
        </is>
      </c>
      <c r="F61" s="19" t="inlineStr">
        <is>
          <t>All tickets answered within 3 business days</t>
        </is>
      </c>
      <c r="G61" s="22" t="n">
        <v>130</v>
      </c>
      <c r="H61" s="22" t="n">
        <v>13</v>
      </c>
      <c r="I61" s="19" t="inlineStr">
        <is>
          <t>T05</t>
        </is>
      </c>
      <c r="J61" s="19" t="inlineStr">
        <is>
          <t>Risk</t>
        </is>
      </c>
      <c r="K61" s="22" t="inlineStr">
        <is>
          <t>Not started</t>
        </is>
      </c>
      <c r="L61" s="19" t="inlineStr">
        <is>
          <t>Raghu</t>
        </is>
      </c>
      <c r="M61" s="19" t="inlineStr">
        <is>
          <t>20 min/week cap</t>
        </is>
      </c>
    </row>
    <row r="62" ht="44" customHeight="1">
      <c r="B62" s="19" t="inlineStr">
        <is>
          <t>T55</t>
        </is>
      </c>
      <c r="C62" s="19" t="inlineStr">
        <is>
          <t>P0</t>
        </is>
      </c>
      <c r="D62" s="19" t="inlineStr">
        <is>
          <t>Customer success</t>
        </is>
      </c>
      <c r="E62" s="19" t="inlineStr">
        <is>
          <t>Log buyer language and outcomes</t>
        </is>
      </c>
      <c r="F62" s="19" t="inlineStr">
        <is>
          <t>Every useful phrase tagged: pain, objection, result, request</t>
        </is>
      </c>
      <c r="G62" s="22" t="n">
        <v>30</v>
      </c>
      <c r="H62" s="22" t="n">
        <v>13</v>
      </c>
      <c r="I62" s="19" t="inlineStr">
        <is>
          <t>Sales</t>
        </is>
      </c>
      <c r="J62" s="19" t="inlineStr">
        <is>
          <t>Proof</t>
        </is>
      </c>
      <c r="K62" s="22" t="inlineStr">
        <is>
          <t>Not started</t>
        </is>
      </c>
      <c r="L62" s="19" t="inlineStr">
        <is>
          <t>Raghu</t>
        </is>
      </c>
      <c r="M62" s="19" t="inlineStr">
        <is>
          <t>Feeds content and product updates</t>
        </is>
      </c>
    </row>
    <row r="63" ht="44" customHeight="1">
      <c r="B63" s="19" t="inlineStr">
        <is>
          <t>T56</t>
        </is>
      </c>
      <c r="C63" s="19" t="inlineStr">
        <is>
          <t>P1</t>
        </is>
      </c>
      <c r="D63" s="19" t="inlineStr">
        <is>
          <t>Customer success</t>
        </is>
      </c>
      <c r="E63" s="19" t="inlineStr">
        <is>
          <t>Issue fixes and version notes</t>
        </is>
      </c>
      <c r="F63" s="19" t="inlineStr">
        <is>
          <t>Correct errors fast; email affected buyers</t>
        </is>
      </c>
      <c r="G63" s="22" t="n">
        <v>30</v>
      </c>
      <c r="H63" s="22" t="n">
        <v>6</v>
      </c>
      <c r="I63" s="19" t="inlineStr">
        <is>
          <t>T55</t>
        </is>
      </c>
      <c r="J63" s="19" t="inlineStr">
        <is>
          <t>Risk</t>
        </is>
      </c>
      <c r="K63" s="22" t="inlineStr">
        <is>
          <t>Not started</t>
        </is>
      </c>
      <c r="L63" s="19" t="inlineStr">
        <is>
          <t>Raghu</t>
        </is>
      </c>
      <c r="M63" s="19" t="inlineStr">
        <is>
          <t>Trust compounds</t>
        </is>
      </c>
    </row>
    <row r="64" ht="44" customHeight="1">
      <c r="B64" s="19" t="inlineStr">
        <is>
          <t>T57</t>
        </is>
      </c>
      <c r="C64" s="19" t="inlineStr">
        <is>
          <t>P1</t>
        </is>
      </c>
      <c r="D64" s="19" t="inlineStr">
        <is>
          <t>Operations</t>
        </is>
      </c>
      <c r="E64" s="19" t="inlineStr">
        <is>
          <t>Export monthly sales report</t>
        </is>
      </c>
      <c r="F64" s="19" t="inlineStr">
        <is>
          <t>Sales, refunds, fees, payouts and customers archived</t>
        </is>
      </c>
      <c r="G64" s="22" t="n">
        <v>30</v>
      </c>
      <c r="H64" s="22" t="n">
        <v>13</v>
      </c>
      <c r="I64" s="19" t="inlineStr">
        <is>
          <t>Sales</t>
        </is>
      </c>
      <c r="J64" s="19" t="inlineStr">
        <is>
          <t>Risk</t>
        </is>
      </c>
      <c r="K64" s="22" t="inlineStr">
        <is>
          <t>Not started</t>
        </is>
      </c>
      <c r="L64" s="19" t="inlineStr">
        <is>
          <t>Raghu</t>
        </is>
      </c>
      <c r="M64" s="19" t="inlineStr">
        <is>
          <t>Month-end routine</t>
        </is>
      </c>
    </row>
    <row r="65" ht="44" customHeight="1">
      <c r="B65" s="19" t="inlineStr">
        <is>
          <t>T58</t>
        </is>
      </c>
      <c r="C65" s="19" t="inlineStr">
        <is>
          <t>P1</t>
        </is>
      </c>
      <c r="D65" s="19" t="inlineStr">
        <is>
          <t>Strategy</t>
        </is>
      </c>
      <c r="E65" s="19" t="inlineStr">
        <is>
          <t>Run 90-day review</t>
        </is>
      </c>
      <c r="F65" s="19" t="inlineStr">
        <is>
          <t>Record winners, blockers, economics and next 13-week target</t>
        </is>
      </c>
      <c r="G65" s="22" t="n">
        <v>45</v>
      </c>
      <c r="H65" s="22" t="n">
        <v>13</v>
      </c>
      <c r="I65" s="19" t="inlineStr">
        <is>
          <t>Metrics</t>
        </is>
      </c>
      <c r="J65" s="19" t="inlineStr">
        <is>
          <t>Leverage</t>
        </is>
      </c>
      <c r="K65" s="22" t="inlineStr">
        <is>
          <t>Not started</t>
        </is>
      </c>
      <c r="L65" s="19" t="inlineStr">
        <is>
          <t>Raghu</t>
        </is>
      </c>
      <c r="M65" s="19" t="inlineStr">
        <is>
          <t>Evidence &gt; enthusiasm</t>
        </is>
      </c>
    </row>
    <row r="66" ht="44" customHeight="1">
      <c r="B66" s="19" t="inlineStr">
        <is>
          <t>T59</t>
        </is>
      </c>
      <c r="C66" s="19" t="inlineStr">
        <is>
          <t>P2</t>
        </is>
      </c>
      <c r="D66" s="19" t="inlineStr">
        <is>
          <t>Product</t>
        </is>
      </c>
      <c r="E66" s="19" t="inlineStr">
        <is>
          <t>Build $27 bundle</t>
        </is>
      </c>
      <c r="F66" s="19" t="inlineStr">
        <is>
          <t>Starter + expanded tracker + annual review pack</t>
        </is>
      </c>
      <c r="G66" s="22" t="n">
        <v>80</v>
      </c>
      <c r="H66" s="22" t="n">
        <v>12</v>
      </c>
      <c r="I66" s="19" t="inlineStr">
        <is>
          <t>10 sales,5 replies</t>
        </is>
      </c>
      <c r="J66" s="19" t="inlineStr">
        <is>
          <t>Direct</t>
        </is>
      </c>
      <c r="K66" s="22" t="inlineStr">
        <is>
          <t>Not started</t>
        </is>
      </c>
      <c r="L66" s="19" t="inlineStr">
        <is>
          <t>Raghu</t>
        </is>
      </c>
      <c r="M66" s="19" t="inlineStr">
        <is>
          <t>Only when gate is passed</t>
        </is>
      </c>
    </row>
    <row r="67" ht="44" customHeight="1">
      <c r="B67" s="19" t="inlineStr">
        <is>
          <t>T60</t>
        </is>
      </c>
      <c r="C67" s="19" t="inlineStr">
        <is>
          <t>P2</t>
        </is>
      </c>
      <c r="D67" s="19" t="inlineStr">
        <is>
          <t>Strategy</t>
        </is>
      </c>
      <c r="E67" s="19" t="inlineStr">
        <is>
          <t>Consider second product</t>
        </is>
      </c>
      <c r="F67" s="19" t="inlineStr">
        <is>
          <t>Decision only after 100 first-product sales</t>
        </is>
      </c>
      <c r="G67" s="22" t="n">
        <v>30</v>
      </c>
      <c r="H67" s="22" t="n">
        <v>13</v>
      </c>
      <c r="I67" s="19" t="inlineStr">
        <is>
          <t>100 sales</t>
        </is>
      </c>
      <c r="J67" s="19" t="inlineStr">
        <is>
          <t>Leverage</t>
        </is>
      </c>
      <c r="K67" s="22" t="inlineStr">
        <is>
          <t>Not started</t>
        </is>
      </c>
      <c r="L67" s="19" t="inlineStr">
        <is>
          <t>Raghu</t>
        </is>
      </c>
      <c r="M67" s="19" t="inlineStr">
        <is>
          <t>Do not dilute the brand early</t>
        </is>
      </c>
    </row>
  </sheetData>
  <mergeCells count="2">
    <mergeCell ref="B3:O3"/>
    <mergeCell ref="B2:O2"/>
  </mergeCells>
  <conditionalFormatting sqref="K8:K67">
    <cfRule type="expression" priority="1" dxfId="1">
      <formula>K8="Done"</formula>
    </cfRule>
  </conditionalFormatting>
  <dataValidations count="1">
    <dataValidation sqref="K8:K67" showDropDown="0" showInputMessage="0" showErrorMessage="0" allowBlank="0" type="list">
      <formula1>"Not started,In progress,Done,Blocked,Dropped"</formula1>
    </dataValidation>
  </dataValidations>
  <hyperlinks>
    <hyperlink ref="B5" location="'Command Center'!B2"/>
    <hyperlink ref="C5" location="'90-Day Sprints'!B2"/>
    <hyperlink ref="D5" location="'Task Backlog'!B2"/>
    <hyperlink ref="E5" location="'Content Queue'!B2"/>
    <hyperlink ref="F5" location="'Product &amp; Funnel'!B2"/>
    <hyperlink ref="G5" location="'Metrics'!B2"/>
    <hyperlink ref="H5" location="'Sources'!B2"/>
  </hyperlinks>
  <pageMargins left="0.25" right="0.25" top="0.5" bottom="0.5" header="0.5" footer="0.5"/>
  <pageSetup fitToHeight="0" fitToWidth="1"/>
  <headerFooter>
    <oddHeader/>
    <oddFooter>&amp;C1CRORE2REPS  |  Financial muscle for Indians everywhere.&amp;RPage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O33"/>
  <sheetViews>
    <sheetView showGridLines="0" workbookViewId="0">
      <pane xSplit="5" ySplit="7" topLeftCell="F8"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7" customWidth="1" min="3" max="3"/>
    <col width="14" customWidth="1" min="4" max="4"/>
    <col width="14" customWidth="1" min="5" max="5"/>
    <col width="30" customWidth="1" min="6" max="6"/>
    <col width="46" customWidth="1" min="7" max="7"/>
    <col width="46" customWidth="1" min="8" max="8"/>
    <col width="52" customWidth="1" min="9" max="9"/>
    <col width="30" customWidth="1" min="10" max="10"/>
    <col width="14" customWidth="1" min="11" max="11"/>
    <col width="12" customWidth="1" min="12" max="12"/>
    <col width="26" customWidth="1" min="13" max="13"/>
  </cols>
  <sheetData>
    <row r="1"/>
    <row r="2" ht="34" customHeight="1">
      <c r="B2" s="1" t="inlineStr">
        <is>
          <t>13-WEEK CONTENT QUEUE</t>
        </is>
      </c>
    </row>
    <row r="3" ht="24" customHeight="1">
      <c r="B3" s="2" t="inlineStr">
        <is>
          <t>Two core ideas/week. Each idea becomes one carousel and two X posts. Copy is ready to adapt and post.</t>
        </is>
      </c>
    </row>
    <row r="4"/>
    <row r="5">
      <c r="B5" s="3" t="inlineStr">
        <is>
          <t>Command Center</t>
        </is>
      </c>
      <c r="C5" s="3" t="inlineStr">
        <is>
          <t>90-Day Sprints</t>
        </is>
      </c>
      <c r="D5" s="3" t="inlineStr">
        <is>
          <t>Task Backlog</t>
        </is>
      </c>
      <c r="E5" s="3" t="inlineStr">
        <is>
          <t>Content Queue</t>
        </is>
      </c>
      <c r="F5" s="3" t="inlineStr">
        <is>
          <t>Product &amp; Funnel</t>
        </is>
      </c>
      <c r="G5" s="3" t="inlineStr">
        <is>
          <t>Metrics</t>
        </is>
      </c>
      <c r="H5" s="3" t="inlineStr">
        <is>
          <t>Sources</t>
        </is>
      </c>
    </row>
    <row r="6"/>
    <row r="7">
      <c r="B7" t="inlineStr">
        <is>
          <t>ID</t>
        </is>
      </c>
      <c r="C7" t="inlineStr">
        <is>
          <t>Week</t>
        </is>
      </c>
      <c r="D7" t="inlineStr">
        <is>
          <t>Pillar</t>
        </is>
      </c>
      <c r="E7" t="inlineStr">
        <is>
          <t>Format</t>
        </is>
      </c>
      <c r="F7" t="inlineStr">
        <is>
          <t>Hook / first slide</t>
        </is>
      </c>
      <c r="G7" t="inlineStr">
        <is>
          <t>X Post A</t>
        </is>
      </c>
      <c r="H7" t="inlineStr">
        <is>
          <t>X Post B</t>
        </is>
      </c>
      <c r="I7" t="inlineStr">
        <is>
          <t>Instagram carousel outline</t>
        </is>
      </c>
      <c r="J7" t="inlineStr">
        <is>
          <t>CTA</t>
        </is>
      </c>
      <c r="K7" t="inlineStr">
        <is>
          <t>Offer Link</t>
        </is>
      </c>
      <c r="L7" t="inlineStr">
        <is>
          <t>Status</t>
        </is>
      </c>
      <c r="M7" t="inlineStr">
        <is>
          <t>Result note</t>
        </is>
      </c>
    </row>
    <row r="8" ht="112" customHeight="1">
      <c r="B8" s="19" t="inlineStr">
        <is>
          <t>C01</t>
        </is>
      </c>
      <c r="C8" s="19" t="n">
        <v>1</v>
      </c>
      <c r="D8" s="19" t="inlineStr">
        <is>
          <t>Crossover</t>
        </is>
      </c>
      <c r="E8" s="19" t="inlineStr">
        <is>
          <t>Contrarian</t>
        </is>
      </c>
      <c r="F8" s="19" t="inlineStr">
        <is>
          <t>Your salary and your body have the same problem: leftovers.</t>
        </is>
      </c>
      <c r="G8" s="19" t="inlineStr">
        <is>
          <t>If savings and workouts happen only after everything else, they will get the leftovers. Put both on the calendar before the month starts: one money transfer, three short strength slots. Systems eat intentions for breakfast.</t>
        </is>
      </c>
      <c r="H8" s="19" t="inlineStr">
        <is>
          <t>A raise will not fix a system that spends first. Motivation will not fix a week that schedules training last. Money and muscle grow when the minimum happens automatically.</t>
        </is>
      </c>
      <c r="I8" s="19" t="inlineStr">
        <is>
          <t>1 Hook; 2 The leftover trap; 3 What happens to money; 4 What happens to muscle; 5 Schedule the minimum; 6 One transfer + three slots; 7 Start this Sunday.</t>
        </is>
      </c>
      <c r="J8" s="19" t="inlineStr">
        <is>
          <t>Reply RESET and I’ll send the free 7-Day Money + Muscle scorecard.</t>
        </is>
      </c>
      <c r="K8" s="19" t="inlineStr">
        <is>
          <t>Lead magnet</t>
        </is>
      </c>
      <c r="L8" s="19" t="inlineStr">
        <is>
          <t>Ready</t>
        </is>
      </c>
      <c r="M8" s="19" t="inlineStr"/>
    </row>
    <row r="9" ht="112" customHeight="1">
      <c r="B9" s="19" t="inlineStr">
        <is>
          <t>C02</t>
        </is>
      </c>
      <c r="C9" s="19" t="n">
        <v>1</v>
      </c>
      <c r="D9" s="19" t="inlineStr">
        <is>
          <t>Money</t>
        </is>
      </c>
      <c r="E9" s="19" t="inlineStr">
        <is>
          <t>Checklist</t>
        </is>
      </c>
      <c r="F9" s="19" t="inlineStr">
        <is>
          <t>The 15-minute payday meeting most families never hold.</t>
        </is>
      </c>
      <c r="G9" s="19" t="inlineStr">
        <is>
          <t>Payday ritual: check cash, fund the boring essentials, move the planned amount, review one leak, stop. Fifteen minutes. No market predictions. No spreadsheet Olympics. Just tell the money where to go before the apps do.</t>
        </is>
      </c>
      <c r="H9" s="19" t="inlineStr">
        <is>
          <t>Your monthly budget is too late if the money has already wandered off. Hold a 15-minute meeting with your salary on payday. Short meeting. Strong agenda.</t>
        </is>
      </c>
      <c r="I9" s="19" t="inlineStr">
        <is>
          <t>1 Hook; 2 Why budgets fail late; 3 Check cash; 4 Fund essentials; 5 Move planned amount; 6 Review one leak; 7 Repeat next payday.</t>
        </is>
      </c>
      <c r="J9" s="19" t="inlineStr">
        <is>
          <t>Save this. The full checklist is inside the Starter System.</t>
        </is>
      </c>
      <c r="K9" s="19" t="inlineStr">
        <is>
          <t>Product</t>
        </is>
      </c>
      <c r="L9" s="19" t="inlineStr">
        <is>
          <t>Ready</t>
        </is>
      </c>
      <c r="M9" s="19" t="inlineStr"/>
    </row>
    <row r="10" ht="112" customHeight="1">
      <c r="B10" s="19" t="inlineStr">
        <is>
          <t>C03</t>
        </is>
      </c>
      <c r="C10" s="19" t="n">
        <v>2</v>
      </c>
      <c r="D10" s="19" t="inlineStr">
        <is>
          <t>Muscle</t>
        </is>
      </c>
      <c r="E10" s="19" t="inlineStr">
        <is>
          <t>Minimum floor</t>
        </is>
      </c>
      <c r="F10" s="19" t="inlineStr">
        <is>
          <t>Stop planning your best workout. Define your worst-day workout.</t>
        </is>
      </c>
      <c r="G10" s="19" t="inlineStr">
        <is>
          <t>The workout that changes you is not the perfect Saturday session. It is the version you can still do on a chaotic Tuesday. Define the floor: a safe, short routine you can finish without negotiation.</t>
        </is>
      </c>
      <c r="H10" s="19" t="inlineStr">
        <is>
          <t>Fitness plans break when every session assumes high energy and empty calendars. Build a floor, not a fantasy. Your good days can do more. Your bad days still count.</t>
        </is>
      </c>
      <c r="I10" s="19" t="inlineStr">
        <is>
          <t>1 Hook; 2 Perfect-plan trap; 3 Define the floor; 4 Keep it short; 5 Make it repeatable; 6 Good days add; 7 Bad days still count.</t>
        </is>
      </c>
      <c r="J10" s="19" t="inlineStr">
        <is>
          <t>What is your realistic minimum: 10, 15, or 20 minutes?</t>
        </is>
      </c>
      <c r="K10" s="19" t="inlineStr">
        <is>
          <t>Engagement</t>
        </is>
      </c>
      <c r="L10" s="19" t="inlineStr">
        <is>
          <t>Ready</t>
        </is>
      </c>
      <c r="M10" s="19" t="inlineStr"/>
    </row>
    <row r="11" ht="112" customHeight="1">
      <c r="B11" s="19" t="inlineStr">
        <is>
          <t>C04</t>
        </is>
      </c>
      <c r="C11" s="19" t="n">
        <v>2</v>
      </c>
      <c r="D11" s="19" t="inlineStr">
        <is>
          <t>Research</t>
        </is>
      </c>
      <c r="E11" s="19" t="inlineStr">
        <is>
          <t>Question</t>
        </is>
      </c>
      <c r="F11" s="19" t="inlineStr">
        <is>
          <t>What keeps breaking first: the money plan or the workout plan?</t>
        </is>
      </c>
      <c r="G11" s="19" t="inlineStr">
        <is>
          <t>Quick research for Indians and NRIs in their thirties and forties: what breaks first when work gets ugly, your money routine or your workout routine? Reply with the exact moment it falls apart. I’m building for the failure point, not the fantasy week.</t>
        </is>
      </c>
      <c r="H11" s="19" t="inlineStr">
        <is>
          <t>I do not need another list of “best habits.” I want the ugly detail. When does your system actually collapse: payday, travel, late calls, family weekends, or Monday morning?</t>
        </is>
      </c>
      <c r="I11" s="19" t="inlineStr">
        <is>
          <t>1 Hook; 2 We know the advice; 3 Real life wins; 4 Payday; 5 Travel; 6 Work/family; 7 Tell me the failure point.</t>
        </is>
      </c>
      <c r="J11" s="19" t="inlineStr">
        <is>
          <t>Reply with one sentence. I may build your answer into the system.</t>
        </is>
      </c>
      <c r="K11" s="19" t="inlineStr">
        <is>
          <t>Research</t>
        </is>
      </c>
      <c r="L11" s="19" t="inlineStr">
        <is>
          <t>Ready</t>
        </is>
      </c>
      <c r="M11" s="19" t="inlineStr"/>
    </row>
    <row r="12" ht="112" customHeight="1">
      <c r="B12" s="19" t="inlineStr">
        <is>
          <t>C05</t>
        </is>
      </c>
      <c r="C12" s="19" t="n">
        <v>3</v>
      </c>
      <c r="D12" s="19" t="inlineStr">
        <is>
          <t>Money</t>
        </is>
      </c>
      <c r="E12" s="19" t="inlineStr">
        <is>
          <t>Myth-bust</t>
        </is>
      </c>
      <c r="F12" s="19" t="inlineStr">
        <is>
          <t>You do not need 14 money categories. You need four decisions.</t>
        </is>
      </c>
      <c r="G12" s="19" t="inlineStr">
        <is>
          <t>A useful money dashboard answers four questions: what came in, what must go out, what moved toward the future, and what leaked. If your tracker cannot answer those quickly, it is admin cosplay.</t>
        </is>
      </c>
      <c r="H12" s="19" t="inlineStr">
        <is>
          <t>Complexity feels responsible. Clarity is responsible. Track fewer numbers, review them every week, and make one decision.</t>
        </is>
      </c>
      <c r="I12" s="19" t="inlineStr">
        <is>
          <t>1 Hook; 2 Category overload; 3 Money in; 4 Must go out; 5 Future + leaks; 6 One weekly decision; 7 Keep the dashboard small.</t>
        </is>
      </c>
      <c r="J12" s="19" t="inlineStr">
        <is>
          <t>The dual dashboard launches in Week 4. Join the early list.</t>
        </is>
      </c>
      <c r="K12" s="19" t="inlineStr">
        <is>
          <t>Waitlist</t>
        </is>
      </c>
      <c r="L12" s="19" t="inlineStr">
        <is>
          <t>Ready</t>
        </is>
      </c>
      <c r="M12" s="19" t="inlineStr"/>
    </row>
    <row r="13" ht="112" customHeight="1">
      <c r="B13" s="19" t="inlineStr">
        <is>
          <t>C06</t>
        </is>
      </c>
      <c r="C13" s="19" t="n">
        <v>3</v>
      </c>
      <c r="D13" s="19" t="inlineStr">
        <is>
          <t>Crossover</t>
        </is>
      </c>
      <c r="E13" s="19" t="inlineStr">
        <is>
          <t>Series</t>
        </is>
      </c>
      <c r="F13" s="19" t="inlineStr">
        <is>
          <t>The Sunday Double-Compounding Review: 20 minutes, two scores.</t>
        </is>
      </c>
      <c r="G13" s="19" t="inlineStr">
        <is>
          <t>Every Sunday: score money consistency out of ten. Score muscle consistency out of ten. Write the one friction that hurt both. Choose next week’s minimum. Done. This is the meeting your future self keeps asking for.</t>
        </is>
      </c>
      <c r="H13" s="19" t="inlineStr">
        <is>
          <t>Your week does not need a dramatic reset. It needs a small review before the next week begins. Two scores. One friction. One minimum.</t>
        </is>
      </c>
      <c r="I13" s="19" t="inlineStr">
        <is>
          <t>1 Hook; 2 Score money; 3 Score muscle; 4 Name friction; 5 Pick one minimum; 6 Calendar it; 7 Review next Sunday.</t>
        </is>
      </c>
      <c r="J13" s="19" t="inlineStr">
        <is>
          <t>Follow for the next Sunday review card.</t>
        </is>
      </c>
      <c r="K13" s="19" t="inlineStr">
        <is>
          <t>Follow</t>
        </is>
      </c>
      <c r="L13" s="19" t="inlineStr">
        <is>
          <t>Ready</t>
        </is>
      </c>
      <c r="M13" s="19" t="inlineStr"/>
    </row>
    <row r="14" ht="112" customHeight="1">
      <c r="B14" s="19" t="inlineStr">
        <is>
          <t>C07</t>
        </is>
      </c>
      <c r="C14" s="19" t="n">
        <v>4</v>
      </c>
      <c r="D14" s="19" t="inlineStr">
        <is>
          <t>Product</t>
        </is>
      </c>
      <c r="E14" s="19" t="inlineStr">
        <is>
          <t>Preview</t>
        </is>
      </c>
      <c r="F14" s="19" t="inlineStr">
        <is>
          <t>I built the product for the week you miss Day 6.</t>
        </is>
      </c>
      <c r="G14" s="19" t="inlineStr">
        <is>
          <t>Most challenges are designed for Day 1 motivation. This one is designed for the first miss. Rule: no restart, no catch-up, no punishment. Do today’s minimum and keep moving. The tracker is a record, not a courtroom.</t>
        </is>
      </c>
      <c r="H14" s="19" t="inlineStr">
        <is>
          <t>The most expensive word in habit building is “restart.” One missed day becomes a lost month because people wait for a clean Monday. Continue ugly.</t>
        </is>
      </c>
      <c r="I14" s="19" t="inlineStr">
        <is>
          <t>1 Hook; 2 Why restarts fail; 3 The no-restart rule; 4 No catch-up; 5 No doubling; 6 Do today; 7 Continue ugly.</t>
        </is>
      </c>
      <c r="J14" s="19" t="inlineStr">
        <is>
          <t>Founding version opens this week.</t>
        </is>
      </c>
      <c r="K14" s="19" t="inlineStr">
        <is>
          <t>Product</t>
        </is>
      </c>
      <c r="L14" s="19" t="inlineStr">
        <is>
          <t>Ready</t>
        </is>
      </c>
      <c r="M14" s="19" t="inlineStr"/>
    </row>
    <row r="15" ht="112" customHeight="1">
      <c r="B15" s="19" t="inlineStr">
        <is>
          <t>C08</t>
        </is>
      </c>
      <c r="C15" s="19" t="n">
        <v>4</v>
      </c>
      <c r="D15" s="19" t="inlineStr">
        <is>
          <t>Offer</t>
        </is>
      </c>
      <c r="E15" s="19" t="inlineStr">
        <is>
          <t>Launch</t>
        </is>
      </c>
      <c r="F15" s="19" t="inlineStr">
        <is>
          <t>Money plan. Muscle plan. One system.</t>
        </is>
      </c>
      <c r="G15" s="19" t="inlineStr">
        <is>
          <t>The Double Compounding Starter System is live: a 30-day action plan, dual dashboard, weekly review cards, a missed-day rescue card, and a seven-day quickstart. First 25 copies are $15. Built for Indians and NRIs who are done collecting advice.</t>
        </is>
      </c>
      <c r="H15" s="19" t="inlineStr">
        <is>
          <t>Information is free. Structure is what people use. I packaged the exact weekly ritual, tracker, and rescue rules into one starter system.</t>
        </is>
      </c>
      <c r="I15" s="19" t="inlineStr">
        <is>
          <t>1 Hook; 2 Who it is for; 3 The two problems; 4 What is inside; 5 How it works; 6 Founding price; 7 Start today.</t>
        </is>
      </c>
      <c r="J15" s="19" t="inlineStr">
        <is>
          <t>Get the founding version for $15.</t>
        </is>
      </c>
      <c r="K15" s="19" t="inlineStr">
        <is>
          <t>Product</t>
        </is>
      </c>
      <c r="L15" s="19" t="inlineStr">
        <is>
          <t>Ready</t>
        </is>
      </c>
      <c r="M15" s="19" t="inlineStr"/>
    </row>
    <row r="16" ht="112" customHeight="1">
      <c r="B16" s="19" t="inlineStr">
        <is>
          <t>C09</t>
        </is>
      </c>
      <c r="C16" s="19" t="n">
        <v>5</v>
      </c>
      <c r="D16" s="19" t="inlineStr">
        <is>
          <t>Money</t>
        </is>
      </c>
      <c r="E16" s="19" t="inlineStr">
        <is>
          <t>Red flags</t>
        </is>
      </c>
      <c r="F16" s="19" t="inlineStr">
        <is>
          <t>Three signs your budget is actually a guilt document.</t>
        </is>
      </c>
      <c r="G16" s="19" t="inlineStr">
        <is>
          <t>Your budget is a guilt document if you open it only after overspending, it has categories you never use, or one imperfect week makes you abandon it. A useful plan helps the next decision. It does not prosecute the last one.</t>
        </is>
      </c>
      <c r="H16" s="19" t="inlineStr">
        <is>
          <t>If a money system makes you avoid looking at money, the system is broken. Shrink the review until you can face it every week.</t>
        </is>
      </c>
      <c r="I16" s="19" t="inlineStr">
        <is>
          <t>1 Hook; 2 You open it late; 3 Too many categories; 4 One miss kills it; 5 Replace guilt with review; 6 One next decision; 7 Keep showing up.</t>
        </is>
      </c>
      <c r="J16" s="19" t="inlineStr">
        <is>
          <t>The Starter System uses a one-page weekly money review.</t>
        </is>
      </c>
      <c r="K16" s="19" t="inlineStr">
        <is>
          <t>Product</t>
        </is>
      </c>
      <c r="L16" s="19" t="inlineStr">
        <is>
          <t>Ready</t>
        </is>
      </c>
      <c r="M16" s="19" t="inlineStr"/>
    </row>
    <row r="17" ht="112" customHeight="1">
      <c r="B17" s="19" t="inlineStr">
        <is>
          <t>C10</t>
        </is>
      </c>
      <c r="C17" s="19" t="n">
        <v>5</v>
      </c>
      <c r="D17" s="19" t="inlineStr">
        <is>
          <t>Muscle</t>
        </is>
      </c>
      <c r="E17" s="19" t="inlineStr">
        <is>
          <t>Contrarian</t>
        </is>
      </c>
      <c r="F17" s="19" t="inlineStr">
        <is>
          <t>Consistency is not never missing. It is returning without drama.</t>
        </is>
      </c>
      <c r="G17" s="19" t="inlineStr">
        <is>
          <t>People call a perfect streak consistency. I call that a lucky calendar. Real consistency is the speed of your return after travel, illness, deadlines, or family chaos.</t>
        </is>
      </c>
      <c r="H17" s="19" t="inlineStr">
        <is>
          <t>Do not measure only how long the streak lasted. Measure how quickly you came back. That number survives real life.</t>
        </is>
      </c>
      <c r="I17" s="19" t="inlineStr">
        <is>
          <t>1 Hook; 2 Perfect streak myth; 3 Real life interrupts; 4 Return speed; 5 Remove drama; 6 Use the floor; 7 Continue today.</t>
        </is>
      </c>
      <c r="J17" s="19" t="inlineStr">
        <is>
          <t>Save the missed-day rescue rule.</t>
        </is>
      </c>
      <c r="K17" s="19" t="inlineStr">
        <is>
          <t>Save</t>
        </is>
      </c>
      <c r="L17" s="19" t="inlineStr">
        <is>
          <t>Ready</t>
        </is>
      </c>
      <c r="M17" s="19" t="inlineStr"/>
    </row>
    <row r="18" ht="112" customHeight="1">
      <c r="B18" s="19" t="inlineStr">
        <is>
          <t>C11</t>
        </is>
      </c>
      <c r="C18" s="19" t="n">
        <v>6</v>
      </c>
      <c r="D18" s="19" t="inlineStr">
        <is>
          <t>Crossover</t>
        </is>
      </c>
      <c r="E18" s="19" t="inlineStr">
        <is>
          <t>List</t>
        </is>
      </c>
      <c r="F18" s="19" t="inlineStr">
        <is>
          <t>Four numbers beat forty goals.</t>
        </is>
      </c>
      <c r="G18" s="19" t="inlineStr">
        <is>
          <t>Track four numbers weekly: planned money action completed, avoidable leak noticed, strength sessions completed, and energy score. The numbers are not your identity. They are the dashboard lights.</t>
        </is>
      </c>
      <c r="H18" s="19" t="inlineStr">
        <is>
          <t>Goals are wishes until the week has a scoreboard. Keep it small enough to review and honest enough to change one decision.</t>
        </is>
      </c>
      <c r="I18" s="19" t="inlineStr">
        <is>
          <t>1 Hook; 2 Why forty goals fail; 3 Money action; 4 Leak noticed; 5 Sessions done; 6 Energy; 7 Review, do not judge.</t>
        </is>
      </c>
      <c r="J18" s="19" t="inlineStr">
        <is>
          <t>Download the free scorecard.</t>
        </is>
      </c>
      <c r="K18" s="19" t="inlineStr">
        <is>
          <t>Lead magnet</t>
        </is>
      </c>
      <c r="L18" s="19" t="inlineStr">
        <is>
          <t>Ready</t>
        </is>
      </c>
      <c r="M18" s="19" t="inlineStr"/>
    </row>
    <row r="19" ht="112" customHeight="1">
      <c r="B19" s="19" t="inlineStr">
        <is>
          <t>C12</t>
        </is>
      </c>
      <c r="C19" s="19" t="n">
        <v>6</v>
      </c>
      <c r="D19" s="19" t="inlineStr">
        <is>
          <t>Build in public</t>
        </is>
      </c>
      <c r="E19" s="19" t="inlineStr">
        <is>
          <t>Behind scenes</t>
        </is>
      </c>
      <c r="F19" s="19" t="inlineStr">
        <is>
          <t>I cut twelve pages from my product. It got better.</t>
        </is>
      </c>
      <c r="G19" s="19" t="inlineStr">
        <is>
          <t>I removed twelve pages of explanations and kept the tracker, actions, scripts, and rescue rules. Buyers do not need my word count. They need the next useful move.</t>
        </is>
      </c>
      <c r="H19" s="19" t="inlineStr">
        <is>
          <t>A longer PDF can be a weaker product. The test is not “how much is inside?” It is “can the buyer use it on a bad Tuesday?”</t>
        </is>
      </c>
      <c r="I19" s="19" t="inlineStr">
        <is>
          <t>1 Hook; 2 The deleted pages; 3 Information bloat; 4 Keep actions; 5 Keep tools; 6 Bad-Tuesday test; 7 Useful beats long.</t>
        </is>
      </c>
      <c r="J19" s="19" t="inlineStr">
        <is>
          <t>Want the lean version? It is in the bio.</t>
        </is>
      </c>
      <c r="K19" s="19" t="inlineStr">
        <is>
          <t>Product</t>
        </is>
      </c>
      <c r="L19" s="19" t="inlineStr">
        <is>
          <t>Ready</t>
        </is>
      </c>
      <c r="M19" s="19" t="inlineStr"/>
    </row>
    <row r="20" ht="112" customHeight="1">
      <c r="B20" s="19" t="inlineStr">
        <is>
          <t>C13</t>
        </is>
      </c>
      <c r="C20" s="19" t="n">
        <v>7</v>
      </c>
      <c r="D20" s="19" t="inlineStr">
        <is>
          <t>Money</t>
        </is>
      </c>
      <c r="E20" s="19" t="inlineStr">
        <is>
          <t>Series</t>
        </is>
      </c>
      <c r="F20" s="19" t="inlineStr">
        <is>
          <t>The ₹500 leak is less dangerous than the invisible rule behind it.</t>
        </is>
      </c>
      <c r="G20" s="19" t="inlineStr">
        <is>
          <t>A one-off spend is visible. The repeated rule is expensive: “I deserve delivery after a hard day,” “I will save what remains,” “next month will be calmer.” Find the sentence that keeps authorising the leak.</t>
        </is>
      </c>
      <c r="H20" s="19" t="inlineStr">
        <is>
          <t>Do not only track the transaction. Track the sentence that happened before it. That is where the system can change.</t>
        </is>
      </c>
      <c r="I20" s="19" t="inlineStr">
        <is>
          <t>1 Hook; 2 Visible transaction; 3 Invisible rule; 4 Common sentences; 5 Name yours; 6 Replace the rule; 7 Review weekly.</t>
        </is>
      </c>
      <c r="J20" s="19" t="inlineStr">
        <is>
          <t>Reply with the sentence you catch yourself using.</t>
        </is>
      </c>
      <c r="K20" s="19" t="inlineStr">
        <is>
          <t>Engagement</t>
        </is>
      </c>
      <c r="L20" s="19" t="inlineStr">
        <is>
          <t>Ready</t>
        </is>
      </c>
      <c r="M20" s="19" t="inlineStr"/>
    </row>
    <row r="21" ht="112" customHeight="1">
      <c r="B21" s="19" t="inlineStr">
        <is>
          <t>C14</t>
        </is>
      </c>
      <c r="C21" s="19" t="n">
        <v>7</v>
      </c>
      <c r="D21" s="19" t="inlineStr">
        <is>
          <t>Muscle</t>
        </is>
      </c>
      <c r="E21" s="19" t="inlineStr">
        <is>
          <t>Myth-bust</t>
        </is>
      </c>
      <c r="F21" s="19" t="inlineStr">
        <is>
          <t>A gym membership is not a training system.</t>
        </is>
      </c>
      <c r="G21" s="19" t="inlineStr">
        <is>
          <t>A membership gives you access. A system tells you when you go, what the minimum is, what happens during travel, and how you return after a miss. Access is useful. Structure gets used.</t>
        </is>
      </c>
      <c r="H21" s="19" t="inlineStr">
        <is>
          <t>Buying access can feel like progress because money moved. The calendar has not moved yet. Put the minimum sessions in first.</t>
        </is>
      </c>
      <c r="I21" s="19" t="inlineStr">
        <is>
          <t>1 Hook; 2 Access vs system; 3 When; 4 Minimum; 5 Travel; 6 Return rule; 7 Calendar now.</t>
        </is>
      </c>
      <c r="J21" s="19" t="inlineStr">
        <is>
          <t>The weekly card handles all four decisions.</t>
        </is>
      </c>
      <c r="K21" s="19" t="inlineStr">
        <is>
          <t>Product</t>
        </is>
      </c>
      <c r="L21" s="19" t="inlineStr">
        <is>
          <t>Ready</t>
        </is>
      </c>
      <c r="M21" s="19" t="inlineStr"/>
    </row>
    <row r="22" ht="112" customHeight="1">
      <c r="B22" s="19" t="inlineStr">
        <is>
          <t>C15</t>
        </is>
      </c>
      <c r="C22" s="19" t="n">
        <v>8</v>
      </c>
      <c r="D22" s="19" t="inlineStr">
        <is>
          <t>NRI</t>
        </is>
      </c>
      <c r="E22" s="19" t="inlineStr">
        <is>
          <t>Checklist</t>
        </is>
      </c>
      <c r="F22" s="19" t="inlineStr">
        <is>
          <t>The NRI two-dashboard problem nobody warns you about.</t>
        </is>
      </c>
      <c r="G22" s="19" t="inlineStr">
        <is>
          <t>When life spans two countries, money gets scattered across accounts and fitness gets scattered across routines. One weekly dashboard should show the whole picture. Not every detail. Just the decisions that travel with you.</t>
        </is>
      </c>
      <c r="H22" s="19" t="inlineStr">
        <is>
          <t>Different currencies, family commitments, travel, late calls. More complexity is exactly why the weekly review must be smaller.</t>
        </is>
      </c>
      <c r="I22" s="19" t="inlineStr">
        <is>
          <t>1 Hook; 2 Two-country complexity; 3 Scattered accounts; 4 Scattered routines; 5 One view; 6 Portable minimum; 7 Weekly decision.</t>
        </is>
      </c>
      <c r="J22" s="19" t="inlineStr">
        <is>
          <t>Send this to an NRI who runs life across two clocks.</t>
        </is>
      </c>
      <c r="K22" s="19" t="inlineStr">
        <is>
          <t>Share</t>
        </is>
      </c>
      <c r="L22" s="19" t="inlineStr">
        <is>
          <t>Ready</t>
        </is>
      </c>
      <c r="M22" s="19" t="inlineStr"/>
    </row>
    <row r="23" ht="112" customHeight="1">
      <c r="B23" s="19" t="inlineStr">
        <is>
          <t>C16</t>
        </is>
      </c>
      <c r="C23" s="19" t="n">
        <v>8</v>
      </c>
      <c r="D23" s="19" t="inlineStr">
        <is>
          <t>Crossover</t>
        </is>
      </c>
      <c r="E23" s="19" t="inlineStr">
        <is>
          <t>POV</t>
        </is>
      </c>
      <c r="F23" s="19" t="inlineStr">
        <is>
          <t>POV: you are 42 and finally stop negotiating with Monday.</t>
        </is>
      </c>
      <c r="G23" s="19" t="inlineStr">
        <is>
          <t>You do not need Monday to be clean. You need the next action to be obvious. Transfer the planned amount. Do the minimum session. Review on Sunday. The calendar can be messy. The rules stay simple.</t>
        </is>
      </c>
      <c r="H23" s="19" t="inlineStr">
        <is>
          <t>Adults with jobs, parents, travel and responsibilities do not need a harder challenge. They need fewer negotiations.</t>
        </is>
      </c>
      <c r="I23" s="19" t="inlineStr">
        <is>
          <t>1 Hook; 2 Monday fantasy; 3 Next action; 4 Money move; 5 Muscle minimum; 6 Sunday review; 7 Fewer negotiations.</t>
        </is>
      </c>
      <c r="J23" s="19" t="inlineStr">
        <is>
          <t>The 30-day system is built for messy calendars.</t>
        </is>
      </c>
      <c r="K23" s="19" t="inlineStr">
        <is>
          <t>Product</t>
        </is>
      </c>
      <c r="L23" s="19" t="inlineStr">
        <is>
          <t>Ready</t>
        </is>
      </c>
      <c r="M23" s="19" t="inlineStr"/>
    </row>
    <row r="24" ht="112" customHeight="1">
      <c r="B24" s="19" t="inlineStr">
        <is>
          <t>C17</t>
        </is>
      </c>
      <c r="C24" s="19" t="n">
        <v>9</v>
      </c>
      <c r="D24" s="19" t="inlineStr">
        <is>
          <t>Money</t>
        </is>
      </c>
      <c r="E24" s="19" t="inlineStr">
        <is>
          <t>Contrarian</t>
        </is>
      </c>
      <c r="F24" s="19" t="inlineStr">
        <is>
          <t>Your savings rate is not a personality trait. It is a system output.</t>
        </is>
      </c>
      <c r="G24" s="19" t="inlineStr">
        <is>
          <t>If saving requires a heroic decision every month, the system is unfinished. Decide the amount and timing before payday emotion arrives. Then review whether the amount fits real life.</t>
        </is>
      </c>
      <c r="H24" s="19" t="inlineStr">
        <is>
          <t>Do not shame yourself into saving. Reduce the number of decisions between income and action.</t>
        </is>
      </c>
      <c r="I24" s="19" t="inlineStr">
        <is>
          <t>1 Hook; 2 Heroic decisions; 3 Pre-decide; 4 Time it; 5 Review reality; 6 Adjust; 7 Repeat.</t>
        </is>
      </c>
      <c r="J24" s="19" t="inlineStr">
        <is>
          <t>Use the payday card in the Starter System.</t>
        </is>
      </c>
      <c r="K24" s="19" t="inlineStr">
        <is>
          <t>Product</t>
        </is>
      </c>
      <c r="L24" s="19" t="inlineStr">
        <is>
          <t>Ready</t>
        </is>
      </c>
      <c r="M24" s="19" t="inlineStr"/>
    </row>
    <row r="25" ht="112" customHeight="1">
      <c r="B25" s="19" t="inlineStr">
        <is>
          <t>C18</t>
        </is>
      </c>
      <c r="C25" s="19" t="n">
        <v>9</v>
      </c>
      <c r="D25" s="19" t="inlineStr">
        <is>
          <t>Product</t>
        </is>
      </c>
      <c r="E25" s="19" t="inlineStr">
        <is>
          <t>Proof request</t>
        </is>
      </c>
      <c r="F25" s="19" t="inlineStr">
        <is>
          <t>Buyers: give me one win and one irritation.</t>
        </is>
      </c>
      <c r="G25" s="19" t="inlineStr">
        <is>
          <t>If you bought the founding version, I want two lines: one thing that became easier, and one thing that annoyed you. Praise is nice. Friction makes Version Two better.</t>
        </is>
      </c>
      <c r="H25" s="19" t="inlineStr">
        <is>
          <t>Best product research question: what did you try to do, and where did the product make you pause?</t>
        </is>
      </c>
      <c r="I25" s="19" t="inlineStr">
        <is>
          <t>1 Hook; 2 Ask for one win; 3 Ask for one irritation; 4 Why friction matters; 5 Permission to quote; 6 Version note; 7 Thank you.</t>
        </is>
      </c>
      <c r="J25" s="19" t="inlineStr">
        <is>
          <t>Reply to your receipt email. I read every answer.</t>
        </is>
      </c>
      <c r="K25" s="19" t="inlineStr">
        <is>
          <t>Customer</t>
        </is>
      </c>
      <c r="L25" s="19" t="inlineStr">
        <is>
          <t>Ready</t>
        </is>
      </c>
      <c r="M25" s="19" t="inlineStr"/>
    </row>
    <row r="26" ht="112" customHeight="1">
      <c r="B26" s="19" t="inlineStr">
        <is>
          <t>C19</t>
        </is>
      </c>
      <c r="C26" s="19" t="n">
        <v>10</v>
      </c>
      <c r="D26" s="19" t="inlineStr">
        <is>
          <t>Crossover</t>
        </is>
      </c>
      <c r="E26" s="19" t="inlineStr">
        <is>
          <t>List</t>
        </is>
      </c>
      <c r="F26" s="19" t="inlineStr">
        <is>
          <t>Five-minute actions that keep a bad week alive.</t>
        </is>
      </c>
      <c r="G26" s="19" t="inlineStr">
        <is>
          <t>Bad week menu: open the dashboard, move one planned amount, write one leak, do the minimum safe movement session, schedule Sunday’s review. Pick one. Momentum does not require a makeover.</t>
        </is>
      </c>
      <c r="H26" s="19" t="inlineStr">
        <is>
          <t>When the week is on fire, lower the floor. Do not remove it.</t>
        </is>
      </c>
      <c r="I26" s="19" t="inlineStr">
        <is>
          <t>1 Hook; 2 Open dashboard; 3 Move amount; 4 Name leak; 5 Minimum movement; 6 Schedule review; 7 Pick one.</t>
        </is>
      </c>
      <c r="J26" s="19" t="inlineStr">
        <is>
          <t>Save this for deadline week.</t>
        </is>
      </c>
      <c r="K26" s="19" t="inlineStr">
        <is>
          <t>Save</t>
        </is>
      </c>
      <c r="L26" s="19" t="inlineStr">
        <is>
          <t>Ready</t>
        </is>
      </c>
      <c r="M26" s="19" t="inlineStr"/>
    </row>
    <row r="27" ht="112" customHeight="1">
      <c r="B27" s="19" t="inlineStr">
        <is>
          <t>C20</t>
        </is>
      </c>
      <c r="C27" s="19" t="n">
        <v>10</v>
      </c>
      <c r="D27" s="19" t="inlineStr">
        <is>
          <t>Money</t>
        </is>
      </c>
      <c r="E27" s="19" t="inlineStr">
        <is>
          <t>Q&amp;A</t>
        </is>
      </c>
      <c r="F27" s="19" t="inlineStr">
        <is>
          <t>Should you track every rupee? Only if tracking helps a decision.</t>
        </is>
      </c>
      <c r="G27" s="19" t="inlineStr">
        <is>
          <t>Track enough to answer the next useful question. If the question is “where is the leak?”, detail helps. If the question is “did we fund the plan?”, totals may be enough. Tracking is a tool, not a moral achievement.</t>
        </is>
      </c>
      <c r="H27" s="19" t="inlineStr">
        <is>
          <t>The best tracker is not the most detailed. It is the one you still open before making a decision.</t>
        </is>
      </c>
      <c r="I27" s="19" t="inlineStr">
        <is>
          <t>1 Hook; 2 The real question; 3 When detail helps; 4 When totals help; 5 Tool not morality; 6 Open before decision; 7 Keep it usable.</t>
        </is>
      </c>
      <c r="J27" s="19" t="inlineStr">
        <is>
          <t>The free scorecard starts with four numbers.</t>
        </is>
      </c>
      <c r="K27" s="19" t="inlineStr">
        <is>
          <t>Lead magnet</t>
        </is>
      </c>
      <c r="L27" s="19" t="inlineStr">
        <is>
          <t>Ready</t>
        </is>
      </c>
      <c r="M27" s="19" t="inlineStr"/>
    </row>
    <row r="28" ht="112" customHeight="1">
      <c r="B28" s="19" t="inlineStr">
        <is>
          <t>C21</t>
        </is>
      </c>
      <c r="C28" s="19" t="n">
        <v>11</v>
      </c>
      <c r="D28" s="19" t="inlineStr">
        <is>
          <t>Offer</t>
        </is>
      </c>
      <c r="E28" s="19" t="inlineStr">
        <is>
          <t>Launch</t>
        </is>
      </c>
      <c r="F28" s="19" t="inlineStr">
        <is>
          <t>Version Two costs more because buyers made it sharper.</t>
        </is>
      </c>
      <c r="G28" s="19" t="inlineStr">
        <is>
          <t>The founding buyers showed me where the instructions dragged and where the tracker needed less friction. Version Two keeps the useful parts, fixes the pauses, and moves to $19. Better system. Still cheaper than another abandoned app.</t>
        </is>
      </c>
      <c r="H28" s="19" t="inlineStr">
        <is>
          <t>Founding pricing is over. The improved Starter System is now $19 with the updated dashboard and rescue cards.</t>
        </is>
      </c>
      <c r="I28" s="19" t="inlineStr">
        <is>
          <t>1 Hook; 2 Buyer feedback; 3 What changed; 4 What stayed; 5 New price; 6 Who it helps; 7 Start now.</t>
        </is>
      </c>
      <c r="J28" s="19" t="inlineStr">
        <is>
          <t>Get Version Two for $19.</t>
        </is>
      </c>
      <c r="K28" s="19" t="inlineStr">
        <is>
          <t>Product</t>
        </is>
      </c>
      <c r="L28" s="19" t="inlineStr">
        <is>
          <t>Ready</t>
        </is>
      </c>
      <c r="M28" s="19" t="inlineStr"/>
    </row>
    <row r="29" ht="112" customHeight="1">
      <c r="B29" s="19" t="inlineStr">
        <is>
          <t>C22</t>
        </is>
      </c>
      <c r="C29" s="19" t="n">
        <v>11</v>
      </c>
      <c r="D29" s="19" t="inlineStr">
        <is>
          <t>Crossover</t>
        </is>
      </c>
      <c r="E29" s="19" t="inlineStr">
        <is>
          <t>Case study</t>
        </is>
      </c>
      <c r="F29" s="19" t="inlineStr">
        <is>
          <t>One buyer did not become perfect. They became faster at returning.</t>
        </is>
      </c>
      <c r="G29" s="19" t="inlineStr">
        <is>
          <t>The useful result was not a flawless month. It was this: one bad week no longer became a bad quarter. That is what the no-restart rule is built to protect.</t>
        </is>
      </c>
      <c r="H29" s="19" t="inlineStr">
        <is>
          <t>Transformation does not always look dramatic. Sometimes it is the problem becoming smaller and shorter.</t>
        </is>
      </c>
      <c r="I29" s="19" t="inlineStr">
        <is>
          <t>1 Hook; 2 No perfect month; 3 Old pattern; 4 New return; 5 No-restart rule; 6 Smaller problem; 7 Keep going.</t>
        </is>
      </c>
      <c r="J29" s="19" t="inlineStr">
        <is>
          <t>Use only with verified buyer permission and exact truth.</t>
        </is>
      </c>
      <c r="K29" s="19" t="inlineStr">
        <is>
          <t>Proof</t>
        </is>
      </c>
      <c r="L29" s="19" t="inlineStr">
        <is>
          <t>Ready</t>
        </is>
      </c>
      <c r="M29" s="19" t="inlineStr"/>
    </row>
    <row r="30" ht="112" customHeight="1">
      <c r="B30" s="19" t="inlineStr">
        <is>
          <t>C23</t>
        </is>
      </c>
      <c r="C30" s="19" t="n">
        <v>12</v>
      </c>
      <c r="D30" s="19" t="inlineStr">
        <is>
          <t>Money</t>
        </is>
      </c>
      <c r="E30" s="19" t="inlineStr">
        <is>
          <t>Checklist</t>
        </is>
      </c>
      <c r="F30" s="19" t="inlineStr">
        <is>
          <t>Your end-of-month review needs one decision, not a verdict.</t>
        </is>
      </c>
      <c r="G30" s="19" t="inlineStr">
        <is>
          <t>At month end: compare plan and reality, name one surprise, keep one thing, change one thing. Then close the sheet. No speeches.</t>
        </is>
      </c>
      <c r="H30" s="19" t="inlineStr">
        <is>
          <t>A review that ends with ten changes is a punishment. Pick the change that makes next month easier.</t>
        </is>
      </c>
      <c r="I30" s="19" t="inlineStr">
        <is>
          <t>1 Hook; 2 Compare; 3 Name surprise; 4 Keep one; 5 Change one; 6 Close the sheet; 7 Next month easier.</t>
        </is>
      </c>
      <c r="J30" s="19" t="inlineStr">
        <is>
          <t>Screenshot the four-step review.</t>
        </is>
      </c>
      <c r="K30" s="19" t="inlineStr">
        <is>
          <t>Save</t>
        </is>
      </c>
      <c r="L30" s="19" t="inlineStr">
        <is>
          <t>Ready</t>
        </is>
      </c>
      <c r="M30" s="19" t="inlineStr"/>
    </row>
    <row r="31" ht="112" customHeight="1">
      <c r="B31" s="19" t="inlineStr">
        <is>
          <t>C24</t>
        </is>
      </c>
      <c r="C31" s="19" t="n">
        <v>12</v>
      </c>
      <c r="D31" s="19" t="inlineStr">
        <is>
          <t>Muscle</t>
        </is>
      </c>
      <c r="E31" s="19" t="inlineStr">
        <is>
          <t>Contrarian</t>
        </is>
      </c>
      <c r="F31" s="19" t="inlineStr">
        <is>
          <t>The best routine is allowed to shrink.</t>
        </is>
      </c>
      <c r="G31" s="19" t="inlineStr">
        <is>
          <t>Travel week, sick child, release deadline, festival season. The routine may shrink. The identity does not need a courtroom. Keep the safe minimum or recover, then return without debt.</t>
        </is>
      </c>
      <c r="H31" s="19" t="inlineStr">
        <is>
          <t>You do not owe the workout you missed. You owe the next sensible decision.</t>
        </is>
      </c>
      <c r="I31" s="19" t="inlineStr">
        <is>
          <t>1 Hook; 2 Real-life disruptions; 3 Shrink safely; 4 Recovery counts; 5 No workout debt; 6 Next sensible action; 7 Return.</t>
        </is>
      </c>
      <c r="J31" s="19" t="inlineStr">
        <is>
          <t>The rescue card is included in the system.</t>
        </is>
      </c>
      <c r="K31" s="19" t="inlineStr">
        <is>
          <t>Product</t>
        </is>
      </c>
      <c r="L31" s="19" t="inlineStr">
        <is>
          <t>Ready</t>
        </is>
      </c>
      <c r="M31" s="19" t="inlineStr"/>
    </row>
    <row r="32" ht="112" customHeight="1">
      <c r="B32" s="19" t="inlineStr">
        <is>
          <t>C25</t>
        </is>
      </c>
      <c r="C32" s="19" t="n">
        <v>13</v>
      </c>
      <c r="D32" s="19" t="inlineStr">
        <is>
          <t>Build in public</t>
        </is>
      </c>
      <c r="E32" s="19" t="inlineStr">
        <is>
          <t>Lessons</t>
        </is>
      </c>
      <c r="F32" s="19" t="inlineStr">
        <is>
          <t>What 90 days taught me about selling to a tiny audience.</t>
        </is>
      </c>
      <c r="G32" s="19" t="inlineStr">
        <is>
          <t>A tiny audience exposes weak offers quickly. Followers cannot hide a vague promise. The useful questions were simple: did people click, did they buy, did they use it, and what made them pause?</t>
        </is>
      </c>
      <c r="H32" s="19" t="inlineStr">
        <is>
          <t>Posting is not the business. The loop is: publish, capture a response, improve the offer, ask for the sale.</t>
        </is>
      </c>
      <c r="I32" s="19" t="inlineStr">
        <is>
          <t>1 Hook; 2 Tiny audience advantage; 3 Click; 4 Buy; 5 Use; 6 Pause; 7 Repeat the loop.</t>
        </is>
      </c>
      <c r="J32" s="19" t="inlineStr">
        <is>
          <t>Follow the next build cycle. Numbers, not guru fog.</t>
        </is>
      </c>
      <c r="K32" s="19" t="inlineStr">
        <is>
          <t>Follow</t>
        </is>
      </c>
      <c r="L32" s="19" t="inlineStr">
        <is>
          <t>Ready</t>
        </is>
      </c>
      <c r="M32" s="19" t="inlineStr"/>
    </row>
    <row r="33" ht="112" customHeight="1">
      <c r="B33" s="19" t="inlineStr">
        <is>
          <t>C26</t>
        </is>
      </c>
      <c r="C33" s="19" t="n">
        <v>13</v>
      </c>
      <c r="D33" s="19" t="inlineStr">
        <is>
          <t>Crossover</t>
        </is>
      </c>
      <c r="E33" s="19" t="inlineStr">
        <is>
          <t>Series</t>
        </is>
      </c>
      <c r="F33" s="19" t="inlineStr">
        <is>
          <t>The next 90 days start with one number.</t>
        </is>
      </c>
      <c r="G33" s="19" t="inlineStr">
        <is>
          <t>Pick one number that proves the system is being used: weekly reviews completed, planned transfers made, or minimum sessions completed. Not all three. One number that keeps the machine honest.</t>
        </is>
      </c>
      <c r="H33" s="19" t="inlineStr">
        <is>
          <t>Goals inspire. A weekly input tells you whether the machine ran. Choose the input before you choose the slogan.</t>
        </is>
      </c>
      <c r="I33" s="19" t="inlineStr">
        <is>
          <t>1 Hook; 2 Pick one number; 3 Possible money input; 4 Possible muscle input; 5 Why one; 6 Review weekly; 7 Start next cycle.</t>
        </is>
      </c>
      <c r="J33" s="19" t="inlineStr">
        <is>
          <t>Which number are you choosing for the next 90 days?</t>
        </is>
      </c>
      <c r="K33" s="19" t="inlineStr">
        <is>
          <t>Engagement</t>
        </is>
      </c>
      <c r="L33" s="19" t="inlineStr">
        <is>
          <t>Ready</t>
        </is>
      </c>
      <c r="M33" s="19" t="inlineStr"/>
    </row>
  </sheetData>
  <mergeCells count="2">
    <mergeCell ref="B3:O3"/>
    <mergeCell ref="B2:O2"/>
  </mergeCells>
  <dataValidations count="1">
    <dataValidation sqref="L8:L33" showDropDown="0" showInputMessage="0" showErrorMessage="0" allowBlank="0" type="list">
      <formula1>"Idea,Drafting,Ready,Scheduled,Published,Repurpose,Retired"</formula1>
    </dataValidation>
  </dataValidations>
  <hyperlinks>
    <hyperlink ref="B5" location="'Command Center'!B2"/>
    <hyperlink ref="C5" location="'90-Day Sprints'!B2"/>
    <hyperlink ref="D5" location="'Task Backlog'!B2"/>
    <hyperlink ref="E5" location="'Content Queue'!B2"/>
    <hyperlink ref="F5" location="'Product &amp; Funnel'!B2"/>
    <hyperlink ref="G5" location="'Metrics'!B2"/>
    <hyperlink ref="H5" location="'Sources'!B2"/>
  </hyperlinks>
  <pageMargins left="0.25" right="0.25" top="0.5" bottom="0.5" header="0.5" footer="0.5"/>
  <pageSetup fitToHeight="0" fitToWidth="1"/>
  <headerFooter>
    <oddHeader/>
    <oddFooter>&amp;C1CRORE2REPS  |  Financial muscle for Indians everywhere.&amp;RPage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M53"/>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row r="2" ht="34" customHeight="1">
      <c r="B2" s="1" t="inlineStr">
        <is>
          <t>PRODUCT, FUNNEL &amp; PAYMENT SETUP</t>
        </is>
      </c>
    </row>
    <row r="3" ht="24" customHeight="1">
      <c r="B3" s="2" t="inlineStr">
        <is>
          <t>One sellable system, one lead magnet, one checkout. Do not add tools until sales create a real bottleneck.</t>
        </is>
      </c>
    </row>
    <row r="4"/>
    <row r="5">
      <c r="B5" s="3" t="inlineStr">
        <is>
          <t>Command Center</t>
        </is>
      </c>
      <c r="C5" s="3" t="inlineStr">
        <is>
          <t>90-Day Sprints</t>
        </is>
      </c>
      <c r="D5" s="3" t="inlineStr">
        <is>
          <t>Task Backlog</t>
        </is>
      </c>
      <c r="E5" s="3" t="inlineStr">
        <is>
          <t>Content Queue</t>
        </is>
      </c>
      <c r="F5" s="3" t="inlineStr">
        <is>
          <t>Product &amp; Funnel</t>
        </is>
      </c>
      <c r="G5" s="3" t="inlineStr">
        <is>
          <t>Metrics</t>
        </is>
      </c>
      <c r="H5" s="3" t="inlineStr">
        <is>
          <t>Sources</t>
        </is>
      </c>
    </row>
    <row r="6"/>
    <row r="7" ht="24" customHeight="1">
      <c r="B7" s="4" t="inlineStr">
        <is>
          <t>OFFER SPEC</t>
        </is>
      </c>
    </row>
    <row r="8" ht="32" customHeight="1">
      <c r="B8" s="17" t="inlineStr">
        <is>
          <t>Product name</t>
        </is>
      </c>
      <c r="C8" s="6" t="inlineStr">
        <is>
          <t>The Double Compounding Starter System</t>
        </is>
      </c>
    </row>
    <row r="9" ht="32" customHeight="1">
      <c r="B9" s="17" t="inlineStr">
        <is>
          <t>Cover line</t>
        </is>
      </c>
      <c r="C9" s="6" t="inlineStr">
        <is>
          <t>Install one money ritual and one strength routine in 30 days, without waiting for a perfect month.</t>
        </is>
      </c>
    </row>
    <row r="10" ht="32" customHeight="1">
      <c r="B10" s="17" t="inlineStr">
        <is>
          <t>Buyer</t>
        </is>
      </c>
      <c r="C10" s="6" t="inlineStr">
        <is>
          <t>Busy Indians and NRIs, age 30–50, who know the basics but cannot make the routines survive work, travel and family life.</t>
        </is>
      </c>
    </row>
    <row r="11" ht="32" customHeight="1">
      <c r="B11" s="17" t="inlineStr">
        <is>
          <t>Founding offer</t>
        </is>
      </c>
      <c r="C11" s="6" t="inlineStr">
        <is>
          <t>$15 for first 25 buyers; then $19.</t>
        </is>
      </c>
    </row>
    <row r="12" ht="32" customHeight="1">
      <c r="B12" s="17" t="inlineStr">
        <is>
          <t>Contents</t>
        </is>
      </c>
      <c r="C12" s="6" t="inlineStr">
        <is>
          <t>30-day action plan; Money + Muscle dashboard; 4 weekly review cards; missed-day rescue card; 7-day quickstart.</t>
        </is>
      </c>
    </row>
    <row r="13" ht="32" customHeight="1">
      <c r="B13" s="17" t="inlineStr">
        <is>
          <t>Outcome</t>
        </is>
      </c>
      <c r="C13" s="6" t="inlineStr">
        <is>
          <t>A repeatable Sunday review, a payday money ritual, a minimum viable strength routine, and a return rule after missed days.</t>
        </is>
      </c>
    </row>
    <row r="14" ht="32" customHeight="1">
      <c r="B14" s="17" t="inlineStr">
        <is>
          <t>Not included</t>
        </is>
      </c>
      <c r="C14" s="6" t="inlineStr">
        <is>
          <t>Investment picks, return promises, medical treatment, extreme workouts, personalised financial or medical advice.</t>
        </is>
      </c>
    </row>
    <row r="15" ht="32" customHeight="1">
      <c r="B15" s="17" t="inlineStr">
        <is>
          <t>Future upsell</t>
        </is>
      </c>
      <c r="C15" s="6" t="inlineStr">
        <is>
          <t>$27 expanded bundle only after 10 sales + 5 buyer replies. Add annual review pack and expanded tracker, not more theory.</t>
        </is>
      </c>
    </row>
    <row r="16"/>
    <row r="17" ht="24" customHeight="1">
      <c r="B17" s="4" t="inlineStr">
        <is>
          <t>SALES PAGE COPY</t>
        </is>
      </c>
    </row>
    <row r="18" ht="36" customHeight="1">
      <c r="B18" s="17" t="inlineStr">
        <is>
          <t>Eyebrow</t>
        </is>
      </c>
      <c r="C18" s="6" t="inlineStr">
        <is>
          <t>MONEY + MUSCLE. ONE WEEKLY SYSTEM.</t>
        </is>
      </c>
    </row>
    <row r="19" ht="36" customHeight="1">
      <c r="B19" s="17" t="inlineStr">
        <is>
          <t>Headline</t>
        </is>
      </c>
      <c r="C19" s="6" t="inlineStr">
        <is>
          <t>Stop restarting. Build the two routines your future depends on.</t>
        </is>
      </c>
    </row>
    <row r="20" ht="36" customHeight="1">
      <c r="B20" s="17" t="inlineStr">
        <is>
          <t>Subhead</t>
        </is>
      </c>
      <c r="C20" s="6" t="inlineStr">
        <is>
          <t>A 30-day starter system for Indians and NRIs who want stronger finances and a stronger body, but have no patience for guru fluff or perfect calendars.</t>
        </is>
      </c>
    </row>
    <row r="21" ht="36" customHeight="1">
      <c r="B21" s="17" t="inlineStr">
        <is>
          <t>Problem</t>
        </is>
      </c>
      <c r="C21" s="6" t="inlineStr">
        <is>
          <t>You already know saving matters. You already know strength matters. The problem is that both plans get the leftovers after work, travel, family and fatigue.</t>
        </is>
      </c>
    </row>
    <row r="22" ht="36" customHeight="1">
      <c r="B22" s="17" t="inlineStr">
        <is>
          <t>Promise</t>
        </is>
      </c>
      <c r="C22" s="6" t="inlineStr">
        <is>
          <t>This system installs a small money ritual, a realistic strength floor, and a Sunday review that keeps both alive when the week gets messy.</t>
        </is>
      </c>
    </row>
    <row r="23" ht="36" customHeight="1">
      <c r="B23" s="17" t="inlineStr">
        <is>
          <t>Bullets</t>
        </is>
      </c>
      <c r="C23" s="6" t="inlineStr">
        <is>
          <t>Know exactly what to do each day in under 20 minutes. Track only the numbers that change a decision. Use the no-restart rule after missed days. Keep one printable weekly review card visible.</t>
        </is>
      </c>
    </row>
    <row r="24" ht="36" customHeight="1">
      <c r="B24" s="17" t="inlineStr">
        <is>
          <t>Proof slot</t>
        </is>
      </c>
      <c r="C24" s="6" t="inlineStr">
        <is>
          <t>Insert only verified buyer result or product preview. Never invent a testimonial.</t>
        </is>
      </c>
    </row>
    <row r="25" ht="36" customHeight="1">
      <c r="B25" s="17" t="inlineStr">
        <is>
          <t>Offer</t>
        </is>
      </c>
      <c r="C25" s="6" t="inlineStr">
        <is>
          <t>Get the 30-day action plan, editable dual dashboard, four review cards, rescue card and seven-day quickstart.</t>
        </is>
      </c>
    </row>
    <row r="26" ht="36" customHeight="1">
      <c r="B26" s="17" t="inlineStr">
        <is>
          <t>Price line</t>
        </is>
      </c>
      <c r="C26" s="6" t="inlineStr">
        <is>
          <t>Founding batch: $15 for the first 25 buyers. Then $19.</t>
        </is>
      </c>
    </row>
    <row r="27" ht="36" customHeight="1">
      <c r="B27" s="17" t="inlineStr">
        <is>
          <t>CTA</t>
        </is>
      </c>
      <c r="C27" s="6" t="inlineStr">
        <is>
          <t>START DOUBLE COMPOUNDING</t>
        </is>
      </c>
    </row>
    <row r="28" ht="36" customHeight="1">
      <c r="B28" s="17" t="inlineStr">
        <is>
          <t>FAQ 1</t>
        </is>
      </c>
      <c r="C28" s="6" t="inlineStr">
        <is>
          <t>Is this investment or medical advice? No. It is a habits, organisation and consistency system.</t>
        </is>
      </c>
    </row>
    <row r="29" ht="36" customHeight="1">
      <c r="B29" s="17" t="inlineStr">
        <is>
          <t>FAQ 2</t>
        </is>
      </c>
      <c r="C29" s="6" t="inlineStr">
        <is>
          <t>What if I miss days? Do not restart or double up. Continue with today’s minimum.</t>
        </is>
      </c>
    </row>
    <row r="30" ht="36" customHeight="1">
      <c r="B30" s="17" t="inlineStr">
        <is>
          <t>FAQ 3</t>
        </is>
      </c>
      <c r="C30" s="6" t="inlineStr">
        <is>
          <t>Do I need a gym or complex spreadsheet? No. Use a safe routine appropriate to you and the simple included tracker.</t>
        </is>
      </c>
    </row>
    <row r="31"/>
    <row r="32" ht="24" customHeight="1">
      <c r="B32" s="4" t="inlineStr">
        <is>
          <t>LEAD MAGNET + EMAILS</t>
        </is>
      </c>
    </row>
    <row r="33" ht="38" customHeight="1">
      <c r="B33" s="17" t="inlineStr">
        <is>
          <t>Lead magnet</t>
        </is>
      </c>
      <c r="C33" s="6" t="inlineStr">
        <is>
          <t>7-Day Money + Muscle Reset: one scorecard, seven tiny actions, and one Sunday review.</t>
        </is>
      </c>
    </row>
    <row r="34" ht="38" customHeight="1">
      <c r="B34" s="17" t="inlineStr">
        <is>
          <t>Landing headline</t>
        </is>
      </c>
      <c r="C34" s="6" t="inlineStr">
        <is>
          <t>Your money plan and workout plan do not need more motivation. They need a smaller minimum.</t>
        </is>
      </c>
    </row>
    <row r="35" ht="38" customHeight="1">
      <c r="B35" s="17" t="inlineStr">
        <is>
          <t>Landing bullets</t>
        </is>
      </c>
      <c r="C35" s="6" t="inlineStr">
        <is>
          <t>Score both systems in five minutes; find the shared failure point; choose next week’s minimum; get the printable Sunday card.</t>
        </is>
      </c>
    </row>
    <row r="36" ht="38" customHeight="1">
      <c r="B36" s="17" t="inlineStr">
        <is>
          <t>Email 1 · Immediately</t>
        </is>
      </c>
      <c r="C36" s="6" t="inlineStr">
        <is>
          <t>Subject: Your reset starts smaller than you think. Deliver the file, explain the two-score exercise, ask them to reply with the lower score.</t>
        </is>
      </c>
    </row>
    <row r="37" ht="38" customHeight="1">
      <c r="B37" s="17" t="inlineStr">
        <is>
          <t>Email 2 · Day 2</t>
        </is>
      </c>
      <c r="C37" s="6" t="inlineStr">
        <is>
          <t>Subject: The rule for the first missed day. Teach no restart/no catch-up. Link to one useful content post.</t>
        </is>
      </c>
    </row>
    <row r="38" ht="38" customHeight="1">
      <c r="B38" s="17" t="inlineStr">
        <is>
          <t>Email 3 · Day 4</t>
        </is>
      </c>
      <c r="C38" s="6" t="inlineStr">
        <is>
          <t>Subject: Want the full 30-day system? Present the product, contents, founding price and one CTA.</t>
        </is>
      </c>
    </row>
    <row r="39" ht="38" customHeight="1">
      <c r="B39" s="17" t="inlineStr">
        <is>
          <t>Buyer Day 0</t>
        </is>
      </c>
      <c r="C39" s="6" t="inlineStr">
        <is>
          <t>Subject: Start here in ten minutes. Link all files, tell them to record starting scores and choose their Sunday review time.</t>
        </is>
      </c>
    </row>
    <row r="40" ht="38" customHeight="1">
      <c r="B40" s="17" t="inlineStr">
        <is>
          <t>Buyer Day 7</t>
        </is>
      </c>
      <c r="C40" s="6" t="inlineStr">
        <is>
          <t>Subject: One win. One irritation. Ask for the easiest improvement, biggest friction and permission to quote exact words.</t>
        </is>
      </c>
    </row>
    <row r="41"/>
    <row r="42" ht="24" customHeight="1">
      <c r="B42" s="4" t="inlineStr">
        <is>
          <t>PAYMENT OPTIONS: INDIA SELLER, USD PRODUCT</t>
        </is>
      </c>
    </row>
    <row r="43">
      <c r="B43" t="inlineStr">
        <is>
          <t>Option</t>
        </is>
      </c>
      <c r="C43" t="inlineStr">
        <is>
          <t>Best use now</t>
        </is>
      </c>
      <c r="D43" t="inlineStr">
        <is>
          <t>Cost / payout facts</t>
        </is>
      </c>
      <c r="E43" t="inlineStr">
        <is>
          <t>Tax handling</t>
        </is>
      </c>
      <c r="F43" t="inlineStr">
        <is>
          <t>India constraint</t>
        </is>
      </c>
      <c r="G43" t="inlineStr">
        <is>
          <t>Decision</t>
        </is>
      </c>
    </row>
    <row r="44" ht="92" customHeight="1">
      <c r="B44" s="19" t="inlineStr">
        <is>
          <t>Gumroad</t>
        </is>
      </c>
      <c r="C44" s="19" t="inlineStr">
        <is>
          <t>Fastest route to first sale</t>
        </is>
      </c>
      <c r="D44" s="19" t="inlineStr">
        <is>
          <t>Direct sales: 10% + $0.50, plus card processing; India bank payout in INR; standard minimum shown as $100</t>
        </is>
      </c>
      <c r="E44" s="19" t="inlineStr">
        <is>
          <t>Merchant of record handles worldwide sales-tax collection/remittance</t>
        </is>
      </c>
      <c r="F44" s="19" t="inlineStr">
        <is>
          <t>Higher fee, but simplest starting operations</t>
        </is>
      </c>
      <c r="G44" s="19" t="inlineStr">
        <is>
          <t>USE NOW; review after 10 sales</t>
        </is>
      </c>
    </row>
    <row r="45" ht="92" customHeight="1">
      <c r="B45" s="19" t="inlineStr">
        <is>
          <t>Lemon Squeezy</t>
        </is>
      </c>
      <c r="C45" s="19" t="inlineStr">
        <is>
          <t>Lower-fee MoR alternative</t>
        </is>
      </c>
      <c r="D45" s="19" t="inlineStr">
        <is>
          <t>Base 5% + $0.50; extra fees can apply; payouts twice monthly; $50 minimum</t>
        </is>
      </c>
      <c r="E45" s="19" t="inlineStr">
        <is>
          <t>Merchant of record handles sales tax/VAT</t>
        </is>
      </c>
      <c r="F45" s="19" t="inlineStr">
        <is>
          <t>India bank payout requires approved Stripe; otherwise PayPal payout</t>
        </is>
      </c>
      <c r="G45" s="19" t="inlineStr">
        <is>
          <t>APPLY IN PARALLEL</t>
        </is>
      </c>
    </row>
    <row r="46" ht="92" customHeight="1">
      <c r="B46" s="19" t="inlineStr">
        <is>
          <t>Payhip + Razorpay</t>
        </is>
      </c>
      <c r="C46" s="19" t="inlineStr">
        <is>
          <t>India-friendly checkout and fast settlement</t>
        </is>
      </c>
      <c r="D46" s="19" t="inlineStr">
        <is>
          <t>Payhip free plan 5% + Razorpay fees; Razorpay settles international payments in INR</t>
        </is>
      </c>
      <c r="E46" s="19" t="inlineStr">
        <is>
          <t>Payhip handles EU/UK VAT, not a universal MoR for every jurisdiction</t>
        </is>
      </c>
      <c r="F46" s="19" t="inlineStr">
        <is>
          <t>International payment activation and tax/admin are your responsibility</t>
        </is>
      </c>
      <c r="G46" s="19" t="inlineStr">
        <is>
          <t>EVALUATE AFTER VALIDATION</t>
        </is>
      </c>
    </row>
    <row r="47" ht="92" customHeight="1">
      <c r="B47" s="19" t="inlineStr">
        <is>
          <t>Stripe direct</t>
        </is>
      </c>
      <c r="C47" s="19" t="inlineStr">
        <is>
          <t>Custom stack later</t>
        </is>
      </c>
      <c r="D47" s="19" t="inlineStr">
        <is>
          <t>India pricing varies by domestic/international use</t>
        </is>
      </c>
      <c r="E47" s="19" t="inlineStr">
        <is>
          <t>You own sales-tax/VAT setup unless another layer handles it</t>
        </is>
      </c>
      <c r="F47" s="19" t="inlineStr">
        <is>
          <t>New India accounts are invite-only and focused on international expansion</t>
        </is>
      </c>
      <c r="G47" s="19" t="inlineStr">
        <is>
          <t>DO NOT BLOCK LAUNCH</t>
        </is>
      </c>
    </row>
    <row r="48"/>
    <row r="49" ht="24" customHeight="1">
      <c r="B49" s="4" t="inlineStr">
        <is>
          <t>OUTREACH SCRIPTS</t>
        </is>
      </c>
    </row>
    <row r="50" ht="56" customHeight="1">
      <c r="B50" s="17" t="inlineStr">
        <is>
          <t>Pain interview</t>
        </is>
      </c>
      <c r="C50" s="6" t="inlineStr">
        <is>
          <t>Quick question. I’m building a tiny system for Indians/NRIs trying to keep money and strength routines alive through busy weeks. What is the exact moment yours usually breaks? One sentence is perfect.</t>
        </is>
      </c>
    </row>
    <row r="51" ht="56" customHeight="1">
      <c r="B51" s="17" t="inlineStr">
        <is>
          <t>Warm launch</t>
        </is>
      </c>
      <c r="C51" s="6" t="inlineStr">
        <is>
          <t>I built the first version of the system I’ve been posting about: 30 days, one money ritual, one strength floor, and a no-restart rule. It is $15 for the founding batch. Want the preview link? No pressure if it is not your problem.</t>
        </is>
      </c>
    </row>
    <row r="52" ht="56" customHeight="1">
      <c r="B52" s="17" t="inlineStr">
        <is>
          <t>Partner pitch</t>
        </is>
      </c>
      <c r="C52" s="6" t="inlineStr">
        <is>
          <t>Your audience already cares about [specific topic]. I built a practical Money + Muscle starter system for Indians/NRIs 30–50. I can send a full review copy plus ready-to-use copy. If it genuinely fits, I’ll offer 30% on referred sales. Interested?</t>
        </is>
      </c>
    </row>
    <row r="53" ht="56" customHeight="1">
      <c r="B53" s="17" t="inlineStr">
        <is>
          <t>Buyer feedback</t>
        </is>
      </c>
      <c r="C53" s="6" t="inlineStr">
        <is>
          <t>One win and one irritation: what became easier, and where did you pause or feel confused? If your words help others understand the product, may I quote them with your approval?</t>
        </is>
      </c>
    </row>
  </sheetData>
  <mergeCells count="40">
    <mergeCell ref="B2:M2"/>
    <mergeCell ref="C34:M34"/>
    <mergeCell ref="B42:M42"/>
    <mergeCell ref="C30:M30"/>
    <mergeCell ref="C15:M15"/>
    <mergeCell ref="C33:M33"/>
    <mergeCell ref="C24:M24"/>
    <mergeCell ref="B17:M17"/>
    <mergeCell ref="C14:M14"/>
    <mergeCell ref="C35:M35"/>
    <mergeCell ref="C20:M20"/>
    <mergeCell ref="C26:M26"/>
    <mergeCell ref="C29:M29"/>
    <mergeCell ref="C25:M25"/>
    <mergeCell ref="C10:M10"/>
    <mergeCell ref="C50:M50"/>
    <mergeCell ref="B49:M49"/>
    <mergeCell ref="C22:M22"/>
    <mergeCell ref="C40:M40"/>
    <mergeCell ref="C9:M9"/>
    <mergeCell ref="C12:M12"/>
    <mergeCell ref="C21:M21"/>
    <mergeCell ref="C11:M11"/>
    <mergeCell ref="C51:M51"/>
    <mergeCell ref="C27:M27"/>
    <mergeCell ref="B32:M32"/>
    <mergeCell ref="C36:M36"/>
    <mergeCell ref="C52:M52"/>
    <mergeCell ref="C23:M23"/>
    <mergeCell ref="C39:M39"/>
    <mergeCell ref="C8:M8"/>
    <mergeCell ref="B7:M7"/>
    <mergeCell ref="B3:M3"/>
    <mergeCell ref="C38:M38"/>
    <mergeCell ref="C19:M19"/>
    <mergeCell ref="C28:M28"/>
    <mergeCell ref="C13:M13"/>
    <mergeCell ref="C37:M37"/>
    <mergeCell ref="C18:M18"/>
    <mergeCell ref="C53:M53"/>
  </mergeCells>
  <hyperlinks>
    <hyperlink ref="B5" location="'Command Center'!B2"/>
    <hyperlink ref="C5" location="'90-Day Sprints'!B2"/>
    <hyperlink ref="D5" location="'Task Backlog'!B2"/>
    <hyperlink ref="E5" location="'Content Queue'!B2"/>
    <hyperlink ref="F5" location="'Product &amp; Funnel'!B2"/>
    <hyperlink ref="G5" location="'Metrics'!B2"/>
    <hyperlink ref="H5" location="'Sources'!B2"/>
  </hyperlinks>
  <pageMargins left="0.25" right="0.25" top="0.5" bottom="0.5" header="0.5" footer="0.5"/>
  <pageSetup fitToHeight="0" fitToWidth="1"/>
  <headerFooter>
    <oddHeader/>
    <oddFooter>&amp;C1CRORE2REPS  |  Financial muscle for Indians everywhere.&amp;RPage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V53"/>
  <sheetViews>
    <sheetView showGridLines="0" workbookViewId="0">
      <pane xSplit="3" ySplit="15" topLeftCell="D16"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12" customWidth="1" min="3" max="3"/>
    <col width="14" customWidth="1" min="4" max="4"/>
    <col width="15" customWidth="1" min="5" max="5"/>
    <col width="12" customWidth="1" min="6" max="6"/>
    <col width="16" customWidth="1" min="7" max="7"/>
    <col width="13" customWidth="1" min="8" max="8"/>
    <col width="12" customWidth="1" min="9" max="9"/>
    <col width="11" customWidth="1" min="10" max="10"/>
    <col width="15" customWidth="1" min="11" max="11"/>
    <col width="9" customWidth="1" min="12" max="12"/>
    <col width="9" customWidth="1" min="13" max="13"/>
    <col width="14" customWidth="1" min="14" max="14"/>
    <col width="11" customWidth="1" min="15" max="15"/>
    <col width="11" customWidth="1" min="16" max="16"/>
    <col width="15" customWidth="1" min="17" max="17"/>
    <col width="11" customWidth="1" min="18" max="18"/>
    <col width="16" customWidth="1" min="19" max="19"/>
    <col width="10" customWidth="1" min="20" max="20"/>
    <col width="11" customWidth="1" min="21" max="21"/>
    <col width="10" customWidth="1" min="22" max="22"/>
  </cols>
  <sheetData>
    <row r="1"/>
    <row r="2" ht="34" customHeight="1">
      <c r="B2" s="1" t="inlineStr">
        <is>
          <t>METRICS &amp; REVENUE MODEL</t>
        </is>
      </c>
    </row>
    <row r="3" ht="24" customHeight="1">
      <c r="B3" s="2" t="inlineStr">
        <is>
          <t>Blue cells are inputs. Black cells are formulas. Optimize for leads, orders and net revenue—not likes.</t>
        </is>
      </c>
    </row>
    <row r="4"/>
    <row r="5">
      <c r="B5" s="3" t="inlineStr">
        <is>
          <t>Command Center</t>
        </is>
      </c>
      <c r="C5" s="3" t="inlineStr">
        <is>
          <t>90-Day Sprints</t>
        </is>
      </c>
      <c r="D5" s="3" t="inlineStr">
        <is>
          <t>Task Backlog</t>
        </is>
      </c>
      <c r="E5" s="3" t="inlineStr">
        <is>
          <t>Content Queue</t>
        </is>
      </c>
      <c r="F5" s="3" t="inlineStr">
        <is>
          <t>Product &amp; Funnel</t>
        </is>
      </c>
      <c r="G5" s="3" t="inlineStr">
        <is>
          <t>Metrics</t>
        </is>
      </c>
      <c r="H5" s="3" t="inlineStr">
        <is>
          <t>Sources</t>
        </is>
      </c>
    </row>
    <row r="6"/>
    <row r="7" ht="24" customHeight="1">
      <c r="B7" s="4" t="inlineStr">
        <is>
          <t>FEE ASSUMPTIONS</t>
        </is>
      </c>
    </row>
    <row r="8">
      <c r="B8" s="15" t="inlineStr">
        <is>
          <t>Variable platform + card fee</t>
        </is>
      </c>
      <c r="C8" s="23" t="n">
        <v>0.129</v>
      </c>
      <c r="D8" s="24" t="inlineStr">
        <is>
          <t>Default blended Gumroad direct-sale assumption: 10% platform + 2.9% card processing.</t>
        </is>
      </c>
    </row>
    <row r="9">
      <c r="B9" s="15" t="inlineStr">
        <is>
          <t>Fixed fee per order</t>
        </is>
      </c>
      <c r="C9" s="25" t="n">
        <v>0.8</v>
      </c>
      <c r="D9" s="24" t="inlineStr">
        <is>
          <t>Default: $0.50 platform + $0.30 card processing.</t>
        </is>
      </c>
    </row>
    <row r="10">
      <c r="B10" s="15" t="inlineStr">
        <is>
          <t>Annual gross stretch goal</t>
        </is>
      </c>
      <c r="C10" s="26" t="n">
        <v>100000</v>
      </c>
      <c r="D10" s="24" t="inlineStr">
        <is>
          <t>Target, not forecast. Requires partner/paid leverage and a product ladder.</t>
        </is>
      </c>
    </row>
    <row r="11">
      <c r="B11" s="15" t="inlineStr">
        <is>
          <t>Planning AOV</t>
        </is>
      </c>
      <c r="C11" s="25" t="n">
        <v>22</v>
      </c>
      <c r="D11" s="24" t="inlineStr">
        <is>
          <t>Mix of $19 starter and future $27 bundle.</t>
        </is>
      </c>
    </row>
    <row r="12">
      <c r="B12" s="15" t="inlineStr">
        <is>
          <t>Weekly time capacity (hours)</t>
        </is>
      </c>
      <c r="C12" s="27" t="n">
        <v>4</v>
      </c>
      <c r="D12" s="24" t="inlineStr">
        <is>
          <t>Hard cap until revenue justifies more time.</t>
        </is>
      </c>
    </row>
    <row r="13"/>
    <row r="14" ht="24" customHeight="1">
      <c r="B14" s="4" t="inlineStr">
        <is>
          <t>WEEKLY INPUTS</t>
        </is>
      </c>
    </row>
    <row r="15">
      <c r="B15" t="inlineStr">
        <is>
          <t>Week</t>
        </is>
      </c>
      <c r="C15" t="inlineStr">
        <is>
          <t>Start</t>
        </is>
      </c>
      <c r="D15" t="inlineStr">
        <is>
          <t>X Impressions</t>
        </is>
      </c>
      <c r="E15" t="inlineStr">
        <is>
          <t>X Followers End</t>
        </is>
      </c>
      <c r="F15" t="inlineStr">
        <is>
          <t>IG Reach</t>
        </is>
      </c>
      <c r="G15" t="inlineStr">
        <is>
          <t>IG Followers End</t>
        </is>
      </c>
      <c r="H15" t="inlineStr">
        <is>
          <t>Profile Visits</t>
        </is>
      </c>
      <c r="I15" t="inlineStr">
        <is>
          <t>Link Clicks</t>
        </is>
      </c>
      <c r="J15" t="inlineStr">
        <is>
          <t>New Leads</t>
        </is>
      </c>
      <c r="K15" t="inlineStr">
        <is>
          <t>Checkout Visits</t>
        </is>
      </c>
      <c r="L15" t="inlineStr">
        <is>
          <t>Orders</t>
        </is>
      </c>
      <c r="M15" t="inlineStr">
        <is>
          <t>AOV</t>
        </is>
      </c>
      <c r="N15" t="inlineStr">
        <is>
          <t>Gross Revenue</t>
        </is>
      </c>
      <c r="O15" t="inlineStr">
        <is>
          <t>Refunds $</t>
        </is>
      </c>
      <c r="P15" t="inlineStr">
        <is>
          <t>Ad Spend</t>
        </is>
      </c>
      <c r="Q15" t="inlineStr">
        <is>
          <t>Affiliate Payout</t>
        </is>
      </c>
      <c r="R15" t="inlineStr">
        <is>
          <t>Est Fees</t>
        </is>
      </c>
      <c r="S15" t="inlineStr">
        <is>
          <t>Est Net Revenue</t>
        </is>
      </c>
      <c r="T15" t="inlineStr">
        <is>
          <t>Link CTR</t>
        </is>
      </c>
      <c r="U15" t="inlineStr">
        <is>
          <t>Opt-in CVR</t>
        </is>
      </c>
      <c r="V15" t="inlineStr">
        <is>
          <t>Sales CVR</t>
        </is>
      </c>
    </row>
    <row r="16">
      <c r="B16" t="n">
        <v>1</v>
      </c>
      <c r="C16" s="28" t="n">
        <v>46290</v>
      </c>
      <c r="D16" s="29" t="inlineStr"/>
      <c r="E16" s="29" t="inlineStr"/>
      <c r="F16" s="29" t="inlineStr"/>
      <c r="G16" s="29" t="inlineStr"/>
      <c r="H16" s="29" t="inlineStr"/>
      <c r="I16" s="29" t="inlineStr"/>
      <c r="J16" s="29" t="inlineStr"/>
      <c r="K16" s="29" t="inlineStr"/>
      <c r="L16" s="29" t="inlineStr"/>
      <c r="M16" s="30" t="inlineStr"/>
      <c r="N16" s="31">
        <f>IFERROR(L16*M16,0)</f>
        <v/>
      </c>
      <c r="O16" s="30" t="inlineStr"/>
      <c r="P16" s="30" t="inlineStr"/>
      <c r="Q16" s="30" t="inlineStr"/>
      <c r="R16" s="30">
        <f>IFERROR(N16*$C$8+L16*$C$9,0)</f>
        <v/>
      </c>
      <c r="S16" s="31">
        <f>IFERROR(N16-O16-P16-Q16-R16,0)</f>
        <v/>
      </c>
      <c r="T16" s="32">
        <f>IFERROR(I16/H16,0)</f>
        <v/>
      </c>
      <c r="U16" s="32">
        <f>IFERROR(J16/I16,0)</f>
        <v/>
      </c>
      <c r="V16" s="32">
        <f>IFERROR(L16/K16,0)</f>
        <v/>
      </c>
    </row>
    <row r="17">
      <c r="B17" t="n">
        <v>2</v>
      </c>
      <c r="C17" s="28" t="n">
        <v>46297</v>
      </c>
      <c r="D17" s="29" t="inlineStr"/>
      <c r="E17" s="29" t="inlineStr"/>
      <c r="F17" s="29" t="inlineStr"/>
      <c r="G17" s="29" t="inlineStr"/>
      <c r="H17" s="29" t="inlineStr"/>
      <c r="I17" s="29" t="inlineStr"/>
      <c r="J17" s="29" t="inlineStr"/>
      <c r="K17" s="29" t="inlineStr"/>
      <c r="L17" s="29" t="inlineStr"/>
      <c r="M17" s="30" t="inlineStr"/>
      <c r="N17" s="31">
        <f>IFERROR(L17*M17,0)</f>
        <v/>
      </c>
      <c r="O17" s="30" t="inlineStr"/>
      <c r="P17" s="30" t="inlineStr"/>
      <c r="Q17" s="30" t="inlineStr"/>
      <c r="R17" s="30">
        <f>IFERROR(N17*$C$8+L17*$C$9,0)</f>
        <v/>
      </c>
      <c r="S17" s="31">
        <f>IFERROR(N17-O17-P17-Q17-R17,0)</f>
        <v/>
      </c>
      <c r="T17" s="32">
        <f>IFERROR(I17/H17,0)</f>
        <v/>
      </c>
      <c r="U17" s="32">
        <f>IFERROR(J17/I17,0)</f>
        <v/>
      </c>
      <c r="V17" s="32">
        <f>IFERROR(L17/K17,0)</f>
        <v/>
      </c>
    </row>
    <row r="18">
      <c r="B18" t="n">
        <v>3</v>
      </c>
      <c r="C18" s="28" t="n">
        <v>46304</v>
      </c>
      <c r="D18" s="29" t="inlineStr"/>
      <c r="E18" s="29" t="inlineStr"/>
      <c r="F18" s="29" t="inlineStr"/>
      <c r="G18" s="29" t="inlineStr"/>
      <c r="H18" s="29" t="inlineStr"/>
      <c r="I18" s="29" t="inlineStr"/>
      <c r="J18" s="29" t="inlineStr"/>
      <c r="K18" s="29" t="inlineStr"/>
      <c r="L18" s="29" t="inlineStr"/>
      <c r="M18" s="30" t="inlineStr"/>
      <c r="N18" s="31">
        <f>IFERROR(L18*M18,0)</f>
        <v/>
      </c>
      <c r="O18" s="30" t="inlineStr"/>
      <c r="P18" s="30" t="inlineStr"/>
      <c r="Q18" s="30" t="inlineStr"/>
      <c r="R18" s="30">
        <f>IFERROR(N18*$C$8+L18*$C$9,0)</f>
        <v/>
      </c>
      <c r="S18" s="31">
        <f>IFERROR(N18-O18-P18-Q18-R18,0)</f>
        <v/>
      </c>
      <c r="T18" s="32">
        <f>IFERROR(I18/H18,0)</f>
        <v/>
      </c>
      <c r="U18" s="32">
        <f>IFERROR(J18/I18,0)</f>
        <v/>
      </c>
      <c r="V18" s="32">
        <f>IFERROR(L18/K18,0)</f>
        <v/>
      </c>
    </row>
    <row r="19">
      <c r="B19" t="n">
        <v>4</v>
      </c>
      <c r="C19" s="28" t="n">
        <v>46311</v>
      </c>
      <c r="D19" s="29" t="inlineStr"/>
      <c r="E19" s="29" t="inlineStr"/>
      <c r="F19" s="29" t="inlineStr"/>
      <c r="G19" s="29" t="inlineStr"/>
      <c r="H19" s="29" t="inlineStr"/>
      <c r="I19" s="29" t="inlineStr"/>
      <c r="J19" s="29" t="inlineStr"/>
      <c r="K19" s="29" t="inlineStr"/>
      <c r="L19" s="29" t="inlineStr"/>
      <c r="M19" s="30" t="inlineStr"/>
      <c r="N19" s="31">
        <f>IFERROR(L19*M19,0)</f>
        <v/>
      </c>
      <c r="O19" s="30" t="inlineStr"/>
      <c r="P19" s="30" t="inlineStr"/>
      <c r="Q19" s="30" t="inlineStr"/>
      <c r="R19" s="30">
        <f>IFERROR(N19*$C$8+L19*$C$9,0)</f>
        <v/>
      </c>
      <c r="S19" s="31">
        <f>IFERROR(N19-O19-P19-Q19-R19,0)</f>
        <v/>
      </c>
      <c r="T19" s="32">
        <f>IFERROR(I19/H19,0)</f>
        <v/>
      </c>
      <c r="U19" s="32">
        <f>IFERROR(J19/I19,0)</f>
        <v/>
      </c>
      <c r="V19" s="32">
        <f>IFERROR(L19/K19,0)</f>
        <v/>
      </c>
    </row>
    <row r="20">
      <c r="B20" t="n">
        <v>5</v>
      </c>
      <c r="C20" s="28" t="n">
        <v>46318</v>
      </c>
      <c r="D20" s="29" t="inlineStr"/>
      <c r="E20" s="29" t="inlineStr"/>
      <c r="F20" s="29" t="inlineStr"/>
      <c r="G20" s="29" t="inlineStr"/>
      <c r="H20" s="29" t="inlineStr"/>
      <c r="I20" s="29" t="inlineStr"/>
      <c r="J20" s="29" t="inlineStr"/>
      <c r="K20" s="29" t="inlineStr"/>
      <c r="L20" s="29" t="inlineStr"/>
      <c r="M20" s="30" t="inlineStr"/>
      <c r="N20" s="31">
        <f>IFERROR(L20*M20,0)</f>
        <v/>
      </c>
      <c r="O20" s="30" t="inlineStr"/>
      <c r="P20" s="30" t="inlineStr"/>
      <c r="Q20" s="30" t="inlineStr"/>
      <c r="R20" s="30">
        <f>IFERROR(N20*$C$8+L20*$C$9,0)</f>
        <v/>
      </c>
      <c r="S20" s="31">
        <f>IFERROR(N20-O20-P20-Q20-R20,0)</f>
        <v/>
      </c>
      <c r="T20" s="32">
        <f>IFERROR(I20/H20,0)</f>
        <v/>
      </c>
      <c r="U20" s="32">
        <f>IFERROR(J20/I20,0)</f>
        <v/>
      </c>
      <c r="V20" s="32">
        <f>IFERROR(L20/K20,0)</f>
        <v/>
      </c>
    </row>
    <row r="21">
      <c r="B21" t="n">
        <v>6</v>
      </c>
      <c r="C21" s="28" t="n">
        <v>46325</v>
      </c>
      <c r="D21" s="29" t="inlineStr"/>
      <c r="E21" s="29" t="inlineStr"/>
      <c r="F21" s="29" t="inlineStr"/>
      <c r="G21" s="29" t="inlineStr"/>
      <c r="H21" s="29" t="inlineStr"/>
      <c r="I21" s="29" t="inlineStr"/>
      <c r="J21" s="29" t="inlineStr"/>
      <c r="K21" s="29" t="inlineStr"/>
      <c r="L21" s="29" t="inlineStr"/>
      <c r="M21" s="30" t="inlineStr"/>
      <c r="N21" s="31">
        <f>IFERROR(L21*M21,0)</f>
        <v/>
      </c>
      <c r="O21" s="30" t="inlineStr"/>
      <c r="P21" s="30" t="inlineStr"/>
      <c r="Q21" s="30" t="inlineStr"/>
      <c r="R21" s="30">
        <f>IFERROR(N21*$C$8+L21*$C$9,0)</f>
        <v/>
      </c>
      <c r="S21" s="31">
        <f>IFERROR(N21-O21-P21-Q21-R21,0)</f>
        <v/>
      </c>
      <c r="T21" s="32">
        <f>IFERROR(I21/H21,0)</f>
        <v/>
      </c>
      <c r="U21" s="32">
        <f>IFERROR(J21/I21,0)</f>
        <v/>
      </c>
      <c r="V21" s="32">
        <f>IFERROR(L21/K21,0)</f>
        <v/>
      </c>
    </row>
    <row r="22">
      <c r="B22" t="n">
        <v>7</v>
      </c>
      <c r="C22" s="28" t="n">
        <v>46332</v>
      </c>
      <c r="D22" s="29" t="inlineStr"/>
      <c r="E22" s="29" t="inlineStr"/>
      <c r="F22" s="29" t="inlineStr"/>
      <c r="G22" s="29" t="inlineStr"/>
      <c r="H22" s="29" t="inlineStr"/>
      <c r="I22" s="29" t="inlineStr"/>
      <c r="J22" s="29" t="inlineStr"/>
      <c r="K22" s="29" t="inlineStr"/>
      <c r="L22" s="29" t="inlineStr"/>
      <c r="M22" s="30" t="inlineStr"/>
      <c r="N22" s="31">
        <f>IFERROR(L22*M22,0)</f>
        <v/>
      </c>
      <c r="O22" s="30" t="inlineStr"/>
      <c r="P22" s="30" t="inlineStr"/>
      <c r="Q22" s="30" t="inlineStr"/>
      <c r="R22" s="30">
        <f>IFERROR(N22*$C$8+L22*$C$9,0)</f>
        <v/>
      </c>
      <c r="S22" s="31">
        <f>IFERROR(N22-O22-P22-Q22-R22,0)</f>
        <v/>
      </c>
      <c r="T22" s="32">
        <f>IFERROR(I22/H22,0)</f>
        <v/>
      </c>
      <c r="U22" s="32">
        <f>IFERROR(J22/I22,0)</f>
        <v/>
      </c>
      <c r="V22" s="32">
        <f>IFERROR(L22/K22,0)</f>
        <v/>
      </c>
    </row>
    <row r="23">
      <c r="B23" t="n">
        <v>8</v>
      </c>
      <c r="C23" s="28" t="n">
        <v>46339</v>
      </c>
      <c r="D23" s="29" t="inlineStr"/>
      <c r="E23" s="29" t="inlineStr"/>
      <c r="F23" s="29" t="inlineStr"/>
      <c r="G23" s="29" t="inlineStr"/>
      <c r="H23" s="29" t="inlineStr"/>
      <c r="I23" s="29" t="inlineStr"/>
      <c r="J23" s="29" t="inlineStr"/>
      <c r="K23" s="29" t="inlineStr"/>
      <c r="L23" s="29" t="inlineStr"/>
      <c r="M23" s="30" t="inlineStr"/>
      <c r="N23" s="31">
        <f>IFERROR(L23*M23,0)</f>
        <v/>
      </c>
      <c r="O23" s="30" t="inlineStr"/>
      <c r="P23" s="30" t="inlineStr"/>
      <c r="Q23" s="30" t="inlineStr"/>
      <c r="R23" s="30">
        <f>IFERROR(N23*$C$8+L23*$C$9,0)</f>
        <v/>
      </c>
      <c r="S23" s="31">
        <f>IFERROR(N23-O23-P23-Q23-R23,0)</f>
        <v/>
      </c>
      <c r="T23" s="32">
        <f>IFERROR(I23/H23,0)</f>
        <v/>
      </c>
      <c r="U23" s="32">
        <f>IFERROR(J23/I23,0)</f>
        <v/>
      </c>
      <c r="V23" s="32">
        <f>IFERROR(L23/K23,0)</f>
        <v/>
      </c>
    </row>
    <row r="24">
      <c r="B24" t="n">
        <v>9</v>
      </c>
      <c r="C24" s="28" t="n">
        <v>46346</v>
      </c>
      <c r="D24" s="29" t="inlineStr"/>
      <c r="E24" s="29" t="inlineStr"/>
      <c r="F24" s="29" t="inlineStr"/>
      <c r="G24" s="29" t="inlineStr"/>
      <c r="H24" s="29" t="inlineStr"/>
      <c r="I24" s="29" t="inlineStr"/>
      <c r="J24" s="29" t="inlineStr"/>
      <c r="K24" s="29" t="inlineStr"/>
      <c r="L24" s="29" t="inlineStr"/>
      <c r="M24" s="30" t="inlineStr"/>
      <c r="N24" s="31">
        <f>IFERROR(L24*M24,0)</f>
        <v/>
      </c>
      <c r="O24" s="30" t="inlineStr"/>
      <c r="P24" s="30" t="inlineStr"/>
      <c r="Q24" s="30" t="inlineStr"/>
      <c r="R24" s="30">
        <f>IFERROR(N24*$C$8+L24*$C$9,0)</f>
        <v/>
      </c>
      <c r="S24" s="31">
        <f>IFERROR(N24-O24-P24-Q24-R24,0)</f>
        <v/>
      </c>
      <c r="T24" s="32">
        <f>IFERROR(I24/H24,0)</f>
        <v/>
      </c>
      <c r="U24" s="32">
        <f>IFERROR(J24/I24,0)</f>
        <v/>
      </c>
      <c r="V24" s="32">
        <f>IFERROR(L24/K24,0)</f>
        <v/>
      </c>
    </row>
    <row r="25">
      <c r="B25" t="n">
        <v>10</v>
      </c>
      <c r="C25" s="28" t="n">
        <v>46353</v>
      </c>
      <c r="D25" s="29" t="inlineStr"/>
      <c r="E25" s="29" t="inlineStr"/>
      <c r="F25" s="29" t="inlineStr"/>
      <c r="G25" s="29" t="inlineStr"/>
      <c r="H25" s="29" t="inlineStr"/>
      <c r="I25" s="29" t="inlineStr"/>
      <c r="J25" s="29" t="inlineStr"/>
      <c r="K25" s="29" t="inlineStr"/>
      <c r="L25" s="29" t="inlineStr"/>
      <c r="M25" s="30" t="inlineStr"/>
      <c r="N25" s="31">
        <f>IFERROR(L25*M25,0)</f>
        <v/>
      </c>
      <c r="O25" s="30" t="inlineStr"/>
      <c r="P25" s="30" t="inlineStr"/>
      <c r="Q25" s="30" t="inlineStr"/>
      <c r="R25" s="30">
        <f>IFERROR(N25*$C$8+L25*$C$9,0)</f>
        <v/>
      </c>
      <c r="S25" s="31">
        <f>IFERROR(N25-O25-P25-Q25-R25,0)</f>
        <v/>
      </c>
      <c r="T25" s="32">
        <f>IFERROR(I25/H25,0)</f>
        <v/>
      </c>
      <c r="U25" s="32">
        <f>IFERROR(J25/I25,0)</f>
        <v/>
      </c>
      <c r="V25" s="32">
        <f>IFERROR(L25/K25,0)</f>
        <v/>
      </c>
    </row>
    <row r="26">
      <c r="B26" t="n">
        <v>11</v>
      </c>
      <c r="C26" s="28" t="n">
        <v>46360</v>
      </c>
      <c r="D26" s="29" t="inlineStr"/>
      <c r="E26" s="29" t="inlineStr"/>
      <c r="F26" s="29" t="inlineStr"/>
      <c r="G26" s="29" t="inlineStr"/>
      <c r="H26" s="29" t="inlineStr"/>
      <c r="I26" s="29" t="inlineStr"/>
      <c r="J26" s="29" t="inlineStr"/>
      <c r="K26" s="29" t="inlineStr"/>
      <c r="L26" s="29" t="inlineStr"/>
      <c r="M26" s="30" t="inlineStr"/>
      <c r="N26" s="31">
        <f>IFERROR(L26*M26,0)</f>
        <v/>
      </c>
      <c r="O26" s="30" t="inlineStr"/>
      <c r="P26" s="30" t="inlineStr"/>
      <c r="Q26" s="30" t="inlineStr"/>
      <c r="R26" s="30">
        <f>IFERROR(N26*$C$8+L26*$C$9,0)</f>
        <v/>
      </c>
      <c r="S26" s="31">
        <f>IFERROR(N26-O26-P26-Q26-R26,0)</f>
        <v/>
      </c>
      <c r="T26" s="32">
        <f>IFERROR(I26/H26,0)</f>
        <v/>
      </c>
      <c r="U26" s="32">
        <f>IFERROR(J26/I26,0)</f>
        <v/>
      </c>
      <c r="V26" s="32">
        <f>IFERROR(L26/K26,0)</f>
        <v/>
      </c>
    </row>
    <row r="27">
      <c r="B27" t="n">
        <v>12</v>
      </c>
      <c r="C27" s="28" t="n">
        <v>46367</v>
      </c>
      <c r="D27" s="29" t="inlineStr"/>
      <c r="E27" s="29" t="inlineStr"/>
      <c r="F27" s="29" t="inlineStr"/>
      <c r="G27" s="29" t="inlineStr"/>
      <c r="H27" s="29" t="inlineStr"/>
      <c r="I27" s="29" t="inlineStr"/>
      <c r="J27" s="29" t="inlineStr"/>
      <c r="K27" s="29" t="inlineStr"/>
      <c r="L27" s="29" t="inlineStr"/>
      <c r="M27" s="30" t="inlineStr"/>
      <c r="N27" s="31">
        <f>IFERROR(L27*M27,0)</f>
        <v/>
      </c>
      <c r="O27" s="30" t="inlineStr"/>
      <c r="P27" s="30" t="inlineStr"/>
      <c r="Q27" s="30" t="inlineStr"/>
      <c r="R27" s="30">
        <f>IFERROR(N27*$C$8+L27*$C$9,0)</f>
        <v/>
      </c>
      <c r="S27" s="31">
        <f>IFERROR(N27-O27-P27-Q27-R27,0)</f>
        <v/>
      </c>
      <c r="T27" s="32">
        <f>IFERROR(I27/H27,0)</f>
        <v/>
      </c>
      <c r="U27" s="32">
        <f>IFERROR(J27/I27,0)</f>
        <v/>
      </c>
      <c r="V27" s="32">
        <f>IFERROR(L27/K27,0)</f>
        <v/>
      </c>
    </row>
    <row r="28">
      <c r="B28" t="n">
        <v>13</v>
      </c>
      <c r="C28" s="28" t="n">
        <v>46374</v>
      </c>
      <c r="D28" s="29" t="inlineStr"/>
      <c r="E28" s="29" t="inlineStr"/>
      <c r="F28" s="29" t="inlineStr"/>
      <c r="G28" s="29" t="inlineStr"/>
      <c r="H28" s="29" t="inlineStr"/>
      <c r="I28" s="29" t="inlineStr"/>
      <c r="J28" s="29" t="inlineStr"/>
      <c r="K28" s="29" t="inlineStr"/>
      <c r="L28" s="29" t="inlineStr"/>
      <c r="M28" s="30" t="inlineStr"/>
      <c r="N28" s="31">
        <f>IFERROR(L28*M28,0)</f>
        <v/>
      </c>
      <c r="O28" s="30" t="inlineStr"/>
      <c r="P28" s="30" t="inlineStr"/>
      <c r="Q28" s="30" t="inlineStr"/>
      <c r="R28" s="30">
        <f>IFERROR(N28*$C$8+L28*$C$9,0)</f>
        <v/>
      </c>
      <c r="S28" s="31">
        <f>IFERROR(N28-O28-P28-Q28-R28,0)</f>
        <v/>
      </c>
      <c r="T28" s="32">
        <f>IFERROR(I28/H28,0)</f>
        <v/>
      </c>
      <c r="U28" s="32">
        <f>IFERROR(J28/I28,0)</f>
        <v/>
      </c>
      <c r="V28" s="32">
        <f>IFERROR(L28/K28,0)</f>
        <v/>
      </c>
    </row>
    <row r="29"/>
    <row r="30"/>
    <row r="31" ht="24" customHeight="1">
      <c r="B31" s="4" t="inlineStr">
        <is>
          <t>$100K STRETCH PATH — USER-ADJUSTABLE TARGETS, NOT A FORECAST</t>
        </is>
      </c>
    </row>
    <row r="32">
      <c r="B32" t="inlineStr">
        <is>
          <t>Month</t>
        </is>
      </c>
      <c r="C32" t="inlineStr">
        <is>
          <t>Revenue Weight</t>
        </is>
      </c>
      <c r="D32" t="inlineStr">
        <is>
          <t>Gross Target</t>
        </is>
      </c>
      <c r="E32" t="inlineStr">
        <is>
          <t>Planning AOV</t>
        </is>
      </c>
      <c r="F32" t="inlineStr">
        <is>
          <t>Orders Needed</t>
        </is>
      </c>
      <c r="G32" t="inlineStr">
        <is>
          <t>Primary engine</t>
        </is>
      </c>
      <c r="H32" t="inlineStr">
        <is>
          <t>Evidence gate</t>
        </is>
      </c>
      <c r="I32" t="inlineStr">
        <is>
          <t>Actual Gross</t>
        </is>
      </c>
      <c r="J32" t="inlineStr">
        <is>
          <t>Variance</t>
        </is>
      </c>
    </row>
    <row r="33">
      <c r="B33" t="n">
        <v>1</v>
      </c>
      <c r="C33" s="23" t="n">
        <v>0.005</v>
      </c>
      <c r="D33" s="33">
        <f>$C$10*C33</f>
        <v/>
      </c>
      <c r="E33" s="34">
        <f>$C$11</f>
        <v/>
      </c>
      <c r="F33">
        <f>ROUNDUP(D33/E33,0)</f>
        <v/>
      </c>
      <c r="G33" t="inlineStr">
        <is>
          <t>Founding launch</t>
        </is>
      </c>
      <c r="H33" t="inlineStr">
        <is>
          <t>Checkout live</t>
        </is>
      </c>
      <c r="I33" s="26" t="inlineStr"/>
      <c r="J33" s="33">
        <f>IF(H33="","",I33-D33)</f>
        <v/>
      </c>
    </row>
    <row r="34">
      <c r="B34" t="n">
        <v>2</v>
      </c>
      <c r="C34" s="23" t="n">
        <v>0.01</v>
      </c>
      <c r="D34" s="33">
        <f>$C$10*C34</f>
        <v/>
      </c>
      <c r="E34" s="34">
        <f>$C$11</f>
        <v/>
      </c>
      <c r="F34">
        <f>ROUNDUP(D34/E34,0)</f>
        <v/>
      </c>
      <c r="G34" t="inlineStr">
        <is>
          <t>Organic + warm outreach</t>
        </is>
      </c>
      <c r="H34" t="inlineStr">
        <is>
          <t>10 sales</t>
        </is>
      </c>
      <c r="I34" s="26" t="inlineStr"/>
      <c r="J34" s="33">
        <f>IF(H34="","",I34-D34)</f>
        <v/>
      </c>
    </row>
    <row r="35">
      <c r="B35" t="n">
        <v>3</v>
      </c>
      <c r="C35" s="23" t="n">
        <v>0.015</v>
      </c>
      <c r="D35" s="33">
        <f>$C$10*C35</f>
        <v/>
      </c>
      <c r="E35" s="34">
        <f>$C$11</f>
        <v/>
      </c>
      <c r="F35">
        <f>ROUNDUP(D35/E35,0)</f>
        <v/>
      </c>
      <c r="G35" t="inlineStr">
        <is>
          <t>Lead magnet + launch</t>
        </is>
      </c>
      <c r="H35" t="inlineStr">
        <is>
          <t>25 sales</t>
        </is>
      </c>
      <c r="I35" s="26" t="inlineStr"/>
      <c r="J35" s="33">
        <f>IF(H35="","",I35-D35)</f>
        <v/>
      </c>
    </row>
    <row r="36">
      <c r="B36" t="n">
        <v>4</v>
      </c>
      <c r="C36" s="23" t="n">
        <v>0.025</v>
      </c>
      <c r="D36" s="33">
        <f>$C$10*C36</f>
        <v/>
      </c>
      <c r="E36" s="34">
        <f>$C$11</f>
        <v/>
      </c>
      <c r="F36">
        <f>ROUNDUP(D36/E36,0)</f>
        <v/>
      </c>
      <c r="G36" t="inlineStr">
        <is>
          <t>Micro-partner pilot</t>
        </is>
      </c>
      <c r="H36" t="inlineStr">
        <is>
          <t>2 partners</t>
        </is>
      </c>
      <c r="I36" s="26" t="inlineStr"/>
      <c r="J36" s="33">
        <f>IF(H36="","",I36-D36)</f>
        <v/>
      </c>
    </row>
    <row r="37">
      <c r="B37" t="n">
        <v>5</v>
      </c>
      <c r="C37" s="23" t="n">
        <v>0.04</v>
      </c>
      <c r="D37" s="33">
        <f>$C$10*C37</f>
        <v/>
      </c>
      <c r="E37" s="34">
        <f>$C$11</f>
        <v/>
      </c>
      <c r="F37">
        <f>ROUNDUP(D37/E37,0)</f>
        <v/>
      </c>
      <c r="G37" t="inlineStr">
        <is>
          <t>Affiliate repeat</t>
        </is>
      </c>
      <c r="H37" t="inlineStr">
        <is>
          <t>50 sales</t>
        </is>
      </c>
      <c r="I37" s="26" t="inlineStr"/>
      <c r="J37" s="33">
        <f>IF(H37="","",I37-D37)</f>
        <v/>
      </c>
    </row>
    <row r="38">
      <c r="B38" t="n">
        <v>6</v>
      </c>
      <c r="C38" s="23" t="n">
        <v>0.06</v>
      </c>
      <c r="D38" s="33">
        <f>$C$10*C38</f>
        <v/>
      </c>
      <c r="E38" s="34">
        <f>$C$11</f>
        <v/>
      </c>
      <c r="F38">
        <f>ROUNDUP(D38/E38,0)</f>
        <v/>
      </c>
      <c r="G38" t="inlineStr">
        <is>
          <t>First paid lead test</t>
        </is>
      </c>
      <c r="H38" t="inlineStr">
        <is>
          <t>Positive lead quality</t>
        </is>
      </c>
      <c r="I38" s="26" t="inlineStr"/>
      <c r="J38" s="33">
        <f>IF(H38="","",I38-D38)</f>
        <v/>
      </c>
    </row>
    <row r="39">
      <c r="B39" t="n">
        <v>7</v>
      </c>
      <c r="C39" s="23" t="n">
        <v>0.08</v>
      </c>
      <c r="D39" s="33">
        <f>$C$10*C39</f>
        <v/>
      </c>
      <c r="E39" s="34">
        <f>$C$11</f>
        <v/>
      </c>
      <c r="F39">
        <f>ROUNDUP(D39/E39,0)</f>
        <v/>
      </c>
      <c r="G39" t="inlineStr">
        <is>
          <t>Affiliate expansion</t>
        </is>
      </c>
      <c r="H39" t="inlineStr">
        <is>
          <t>100 sales</t>
        </is>
      </c>
      <c r="I39" s="26" t="inlineStr"/>
      <c r="J39" s="33">
        <f>IF(H39="","",I39-D39)</f>
        <v/>
      </c>
    </row>
    <row r="40">
      <c r="B40" t="n">
        <v>8</v>
      </c>
      <c r="C40" s="23" t="n">
        <v>0.1</v>
      </c>
      <c r="D40" s="33">
        <f>$C$10*C40</f>
        <v/>
      </c>
      <c r="E40" s="34">
        <f>$C$11</f>
        <v/>
      </c>
      <c r="F40">
        <f>ROUNDUP(D40/E40,0)</f>
        <v/>
      </c>
      <c r="G40" t="inlineStr">
        <is>
          <t>Paid creative iteration</t>
        </is>
      </c>
      <c r="H40" t="inlineStr">
        <is>
          <t>Known CAC</t>
        </is>
      </c>
      <c r="I40" s="26" t="inlineStr"/>
      <c r="J40" s="33">
        <f>IF(H40="","",I40-D40)</f>
        <v/>
      </c>
    </row>
    <row r="41">
      <c r="B41" t="n">
        <v>9</v>
      </c>
      <c r="C41" s="23" t="n">
        <v>0.12</v>
      </c>
      <c r="D41" s="33">
        <f>$C$10*C41</f>
        <v/>
      </c>
      <c r="E41" s="34">
        <f>$C$11</f>
        <v/>
      </c>
      <c r="F41">
        <f>ROUNDUP(D41/E41,0)</f>
        <v/>
      </c>
      <c r="G41" t="inlineStr">
        <is>
          <t>Bundle cross-sell</t>
        </is>
      </c>
      <c r="H41" t="inlineStr">
        <is>
          <t>Bundle conversion</t>
        </is>
      </c>
      <c r="I41" s="26" t="inlineStr"/>
      <c r="J41" s="33">
        <f>IF(H41="","",I41-D41)</f>
        <v/>
      </c>
    </row>
    <row r="42">
      <c r="B42" t="n">
        <v>10</v>
      </c>
      <c r="C42" s="23" t="n">
        <v>0.15</v>
      </c>
      <c r="D42" s="33">
        <f>$C$10*C42</f>
        <v/>
      </c>
      <c r="E42" s="34">
        <f>$C$11</f>
        <v/>
      </c>
      <c r="F42">
        <f>ROUNDUP(D42/E42,0)</f>
        <v/>
      </c>
      <c r="G42" t="inlineStr">
        <is>
          <t>Seasonal campaign</t>
        </is>
      </c>
      <c r="H42" t="inlineStr">
        <is>
          <t>Repeatable campaign</t>
        </is>
      </c>
      <c r="I42" s="26" t="inlineStr"/>
      <c r="J42" s="33">
        <f>IF(H42="","",I42-D42)</f>
        <v/>
      </c>
    </row>
    <row r="43">
      <c r="B43" t="n">
        <v>11</v>
      </c>
      <c r="C43" s="23" t="n">
        <v>0.18</v>
      </c>
      <c r="D43" s="33">
        <f>$C$10*C43</f>
        <v/>
      </c>
      <c r="E43" s="34">
        <f>$C$11</f>
        <v/>
      </c>
      <c r="F43">
        <f>ROUNDUP(D43/E43,0)</f>
        <v/>
      </c>
      <c r="G43" t="inlineStr">
        <is>
          <t>Partner launch stack</t>
        </is>
      </c>
      <c r="H43" t="inlineStr">
        <is>
          <t>Refunds controlled</t>
        </is>
      </c>
      <c r="I43" s="26" t="inlineStr"/>
      <c r="J43" s="33">
        <f>IF(H43="","",I43-D43)</f>
        <v/>
      </c>
    </row>
    <row r="44">
      <c r="B44" t="n">
        <v>12</v>
      </c>
      <c r="C44" s="23" t="n">
        <v>0.215</v>
      </c>
      <c r="D44" s="33">
        <f>$C$10*C44</f>
        <v/>
      </c>
      <c r="E44" s="34">
        <f>$C$11</f>
        <v/>
      </c>
      <c r="F44">
        <f>ROUNDUP(D44/E44,0)</f>
        <v/>
      </c>
      <c r="G44" t="inlineStr">
        <is>
          <t>Best-channel concentration</t>
        </is>
      </c>
      <c r="H44" t="inlineStr">
        <is>
          <t>Next-year plan</t>
        </is>
      </c>
      <c r="I44" s="26" t="inlineStr"/>
      <c r="J44" s="33">
        <f>IF(H44="","",I44-D44)</f>
        <v/>
      </c>
    </row>
    <row r="45"/>
    <row r="46">
      <c r="B46" s="35" t="inlineStr">
        <is>
          <t>Total</t>
        </is>
      </c>
      <c r="C46" s="36">
        <f>SUM(C33:C44)</f>
        <v/>
      </c>
      <c r="D46" s="37">
        <f>SUM(D33:D44)</f>
        <v/>
      </c>
      <c r="E46" s="35" t="n"/>
      <c r="F46" s="38">
        <f>SUM(F33:F44)</f>
        <v/>
      </c>
      <c r="G46" s="35" t="n"/>
      <c r="H46" s="35" t="n"/>
      <c r="I46" s="37">
        <f>SUM(I33:I44)</f>
        <v/>
      </c>
      <c r="J46" s="37">
        <f>IF(I46="","",I46-D46)</f>
        <v/>
      </c>
    </row>
    <row r="47"/>
    <row r="48" ht="24" customHeight="1">
      <c r="B48" s="4" t="inlineStr">
        <is>
          <t>WEEKLY REVIEW QUESTIONS</t>
        </is>
      </c>
    </row>
    <row r="49" ht="24" customHeight="1">
      <c r="B49" s="18" t="inlineStr">
        <is>
          <t>1. Which post produced profile visits or link clicks, not just likes?</t>
        </is>
      </c>
    </row>
    <row r="50" ht="24" customHeight="1">
      <c r="B50" s="18" t="inlineStr">
        <is>
          <t>2. Where did people drop: profile, opt-in page, product page, checkout, or onboarding?</t>
        </is>
      </c>
    </row>
    <row r="51" ht="24" customHeight="1">
      <c r="B51" s="18" t="inlineStr">
        <is>
          <t>3. What exact objection or phrase repeated this week?</t>
        </is>
      </c>
    </row>
    <row r="52" ht="24" customHeight="1">
      <c r="B52" s="18" t="inlineStr">
        <is>
          <t>4. What one change can improve the weakest step within 50 minutes?</t>
        </is>
      </c>
    </row>
    <row r="53" ht="24" customHeight="1">
      <c r="B53" s="18" t="inlineStr">
        <is>
          <t>5. Did revenue earn more time or ad spend? If not, keep the 4-hour cap.</t>
        </is>
      </c>
    </row>
  </sheetData>
  <mergeCells count="16">
    <mergeCell ref="B7:J7"/>
    <mergeCell ref="B48:M48"/>
    <mergeCell ref="B53:M53"/>
    <mergeCell ref="B2:V2"/>
    <mergeCell ref="D9:J9"/>
    <mergeCell ref="B51:M51"/>
    <mergeCell ref="B3:V3"/>
    <mergeCell ref="D12:J12"/>
    <mergeCell ref="D8:J8"/>
    <mergeCell ref="B31:M31"/>
    <mergeCell ref="B50:M50"/>
    <mergeCell ref="D10:J10"/>
    <mergeCell ref="B14:V14"/>
    <mergeCell ref="B49:M49"/>
    <mergeCell ref="D11:J11"/>
    <mergeCell ref="B52:M52"/>
  </mergeCells>
  <conditionalFormatting sqref="J33:J46">
    <cfRule type="colorScale" priority="1">
      <colorScale>
        <cfvo type="min"/>
        <cfvo type="percentile" val="50"/>
        <cfvo type="max"/>
        <color rgb="00F8696B"/>
        <color rgb="00FFEB84"/>
        <color rgb="0063BE7B"/>
      </colorScale>
    </cfRule>
  </conditionalFormatting>
  <hyperlinks>
    <hyperlink ref="B5" location="'Command Center'!B2"/>
    <hyperlink ref="C5" location="'90-Day Sprints'!B2"/>
    <hyperlink ref="D5" location="'Task Backlog'!B2"/>
    <hyperlink ref="E5" location="'Content Queue'!B2"/>
    <hyperlink ref="F5" location="'Product &amp; Funnel'!B2"/>
    <hyperlink ref="G5" location="'Metrics'!B2"/>
    <hyperlink ref="H5" location="'Sources'!B2"/>
  </hyperlinks>
  <pageMargins left="0.25" right="0.25" top="0.5" bottom="0.5" header="0.5" footer="0.5"/>
  <pageSetup fitToHeight="0" fitToWidth="1"/>
  <headerFooter>
    <oddHeader/>
    <oddFooter>&amp;C1CRORE2REPS  |  Financial muscle for Indians everywhere.&amp;RPage &amp;P of &amp;N</oddFooter>
    <evenHeader/>
    <evenFooter/>
    <firstHeader/>
    <firstFooter/>
  </headerFooter>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fitToPage="1"/>
  </sheetPr>
  <dimension ref="A1:M26"/>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24" customWidth="1" min="3" max="3"/>
    <col width="36" customWidth="1" min="4" max="4"/>
    <col width="62" customWidth="1" min="5" max="5"/>
    <col width="46" customWidth="1" min="6" max="6"/>
    <col width="15" customWidth="1" min="7" max="7"/>
  </cols>
  <sheetData>
    <row r="1"/>
    <row r="2" ht="34" customHeight="1">
      <c r="B2" s="1" t="inlineStr">
        <is>
          <t>SOURCES &amp; VERIFICATION</t>
        </is>
      </c>
    </row>
    <row r="3" ht="24" customHeight="1">
      <c r="B3" s="2" t="inlineStr">
        <is>
          <t>Official product, platform and Government sources checked on 24 Sep 2026. Platform terms can change; verify before switching.</t>
        </is>
      </c>
    </row>
    <row r="4"/>
    <row r="5">
      <c r="B5" s="3" t="inlineStr">
        <is>
          <t>Command Center</t>
        </is>
      </c>
      <c r="C5" s="3" t="inlineStr">
        <is>
          <t>90-Day Sprints</t>
        </is>
      </c>
      <c r="D5" s="3" t="inlineStr">
        <is>
          <t>Task Backlog</t>
        </is>
      </c>
      <c r="E5" s="3" t="inlineStr">
        <is>
          <t>Content Queue</t>
        </is>
      </c>
      <c r="F5" s="3" t="inlineStr">
        <is>
          <t>Product &amp; Funnel</t>
        </is>
      </c>
      <c r="G5" s="3" t="inlineStr">
        <is>
          <t>Metrics</t>
        </is>
      </c>
      <c r="H5" s="3" t="inlineStr">
        <is>
          <t>Sources</t>
        </is>
      </c>
    </row>
    <row r="6"/>
    <row r="7">
      <c r="B7" t="inlineStr">
        <is>
          <t>#</t>
        </is>
      </c>
      <c r="C7" t="inlineStr">
        <is>
          <t>Topic</t>
        </is>
      </c>
      <c r="D7" t="inlineStr">
        <is>
          <t>Source</t>
        </is>
      </c>
      <c r="E7" t="inlineStr">
        <is>
          <t>URL</t>
        </is>
      </c>
      <c r="F7" t="inlineStr">
        <is>
          <t>How this plan uses it</t>
        </is>
      </c>
      <c r="G7" t="inlineStr">
        <is>
          <t>Checked</t>
        </is>
      </c>
    </row>
    <row r="8" ht="48" customHeight="1">
      <c r="B8" s="19" t="n">
        <v>1</v>
      </c>
      <c r="C8" s="19" t="inlineStr">
        <is>
          <t>Gumroad fees</t>
        </is>
      </c>
      <c r="D8" s="19" t="inlineStr">
        <is>
          <t>Gumroad Help — fees</t>
        </is>
      </c>
      <c r="E8" s="39" t="inlineStr">
        <is>
          <t>https://gumroad.com/help/article/66-gumroads-fees</t>
        </is>
      </c>
      <c r="F8" s="19" t="inlineStr">
        <is>
          <t>Direct-sale fee assumptions and post-validation review</t>
        </is>
      </c>
      <c r="G8" s="19" t="inlineStr">
        <is>
          <t>24-Sep-2026</t>
        </is>
      </c>
    </row>
    <row r="9" ht="48" customHeight="1">
      <c r="B9" s="19" t="n">
        <v>2</v>
      </c>
      <c r="C9" s="19" t="inlineStr">
        <is>
          <t>Gumroad India payouts</t>
        </is>
      </c>
      <c r="D9" s="19" t="inlineStr">
        <is>
          <t>Gumroad Help — getting paid</t>
        </is>
      </c>
      <c r="E9" s="39" t="inlineStr">
        <is>
          <t>https://gumroad.com/help/article/13-getting-paid</t>
        </is>
      </c>
      <c r="F9" s="19" t="inlineStr">
        <is>
          <t>India INR bank payout support, payout threshold and timing</t>
        </is>
      </c>
      <c r="G9" s="19" t="inlineStr">
        <is>
          <t>24-Sep-2026</t>
        </is>
      </c>
    </row>
    <row r="10" ht="48" customHeight="1">
      <c r="B10" s="19" t="n">
        <v>3</v>
      </c>
      <c r="C10" s="19" t="inlineStr">
        <is>
          <t>Gumroad merchant of record</t>
        </is>
      </c>
      <c r="D10" s="19" t="inlineStr">
        <is>
          <t>Gumroad Help — sales tax</t>
        </is>
      </c>
      <c r="E10" s="39" t="inlineStr">
        <is>
          <t>https://gumroad.com/help/article/121-sales-tax-on-gumroad</t>
        </is>
      </c>
      <c r="F10" s="19" t="inlineStr">
        <is>
          <t>Reason to use Gumroad for the first-sale phase</t>
        </is>
      </c>
      <c r="G10" s="19" t="inlineStr">
        <is>
          <t>24-Sep-2026</t>
        </is>
      </c>
    </row>
    <row r="11" ht="48" customHeight="1">
      <c r="B11" s="19" t="n">
        <v>4</v>
      </c>
      <c r="C11" s="19" t="inlineStr">
        <is>
          <t>Gumroad support/refunds</t>
        </is>
      </c>
      <c r="D11" s="19" t="inlineStr">
        <is>
          <t>Gumroad Help — supporting customers</t>
        </is>
      </c>
      <c r="E11" s="39" t="inlineStr">
        <is>
          <t>https://gumroad.com/help/article/352-supporting-your-customers</t>
        </is>
      </c>
      <c r="F11" s="19" t="inlineStr">
        <is>
          <t>Support email and visible refund-policy tasks</t>
        </is>
      </c>
      <c r="G11" s="19" t="inlineStr">
        <is>
          <t>24-Sep-2026</t>
        </is>
      </c>
    </row>
    <row r="12" ht="48" customHeight="1">
      <c r="B12" s="19" t="n">
        <v>5</v>
      </c>
      <c r="C12" s="19" t="inlineStr">
        <is>
          <t>Lemon Squeezy fee</t>
        </is>
      </c>
      <c r="D12" s="19" t="inlineStr">
        <is>
          <t>Lemon Squeezy Docs — fees</t>
        </is>
      </c>
      <c r="E12" s="39" t="inlineStr">
        <is>
          <t>https://docs.lemonsqueezy.com/help/getting-started/fees</t>
        </is>
      </c>
      <c r="F12" s="19" t="inlineStr">
        <is>
          <t>Parallel MoR application and fee comparison</t>
        </is>
      </c>
      <c r="G12" s="19" t="inlineStr">
        <is>
          <t>24-Sep-2026</t>
        </is>
      </c>
    </row>
    <row r="13" ht="48" customHeight="1">
      <c r="B13" s="19" t="n">
        <v>6</v>
      </c>
      <c r="C13" s="19" t="inlineStr">
        <is>
          <t>Lemon Squeezy payouts</t>
        </is>
      </c>
      <c r="D13" s="19" t="inlineStr">
        <is>
          <t>Lemon Squeezy Docs — getting paid</t>
        </is>
      </c>
      <c r="E13" s="39" t="inlineStr">
        <is>
          <t>https://docs.lemonsqueezy.com/help/getting-started/getting-paid</t>
        </is>
      </c>
      <c r="F13" s="19" t="inlineStr">
        <is>
          <t>Twice-monthly payout timing and $50 threshold</t>
        </is>
      </c>
      <c r="G13" s="19" t="inlineStr">
        <is>
          <t>24-Sep-2026</t>
        </is>
      </c>
    </row>
    <row r="14" ht="48" customHeight="1">
      <c r="B14" s="19" t="n">
        <v>7</v>
      </c>
      <c r="C14" s="19" t="inlineStr">
        <is>
          <t>Lemon Squeezy India constraint</t>
        </is>
      </c>
      <c r="D14" s="19" t="inlineStr">
        <is>
          <t>Lemon Squeezy Docs — supported countries</t>
        </is>
      </c>
      <c r="E14" s="39" t="inlineStr">
        <is>
          <t>https://docs.lemonsqueezy.com/help/getting-started/supported-countries</t>
        </is>
      </c>
      <c r="F14" s="19" t="inlineStr">
        <is>
          <t>PayPal path if seller lacks an approved India Stripe account</t>
        </is>
      </c>
      <c r="G14" s="19" t="inlineStr">
        <is>
          <t>24-Sep-2026</t>
        </is>
      </c>
    </row>
    <row r="15" ht="48" customHeight="1">
      <c r="B15" s="19" t="n">
        <v>8</v>
      </c>
      <c r="C15" s="19" t="inlineStr">
        <is>
          <t>Stripe India access</t>
        </is>
      </c>
      <c r="D15" s="19" t="inlineStr">
        <is>
          <t>Stripe India — contact sales</t>
        </is>
      </c>
      <c r="E15" s="39" t="inlineStr">
        <is>
          <t>https://stripe.com/in/contact/sales</t>
        </is>
      </c>
      <c r="F15" s="19" t="inlineStr">
        <is>
          <t>Do not block launch on direct Stripe</t>
        </is>
      </c>
      <c r="G15" s="19" t="inlineStr">
        <is>
          <t>24-Sep-2026</t>
        </is>
      </c>
    </row>
    <row r="16" ht="48" customHeight="1">
      <c r="B16" s="19" t="n">
        <v>9</v>
      </c>
      <c r="C16" s="19" t="inlineStr">
        <is>
          <t>Payhip pricing</t>
        </is>
      </c>
      <c r="D16" s="19" t="inlineStr">
        <is>
          <t>Payhip pricing</t>
        </is>
      </c>
      <c r="E16" s="39" t="inlineStr">
        <is>
          <t>https://payhip.com/pricing</t>
        </is>
      </c>
      <c r="F16" s="19" t="inlineStr">
        <is>
          <t>Post-validation platform comparison</t>
        </is>
      </c>
      <c r="G16" s="19" t="inlineStr">
        <is>
          <t>24-Sep-2026</t>
        </is>
      </c>
    </row>
    <row r="17" ht="48" customHeight="1">
      <c r="B17" s="19" t="n">
        <v>10</v>
      </c>
      <c r="C17" s="19" t="inlineStr">
        <is>
          <t>Payhip + Razorpay</t>
        </is>
      </c>
      <c r="D17" s="19" t="inlineStr">
        <is>
          <t>Payhip Help — connect Razorpay</t>
        </is>
      </c>
      <c r="E17" s="39" t="inlineStr">
        <is>
          <t>https://help.payhip.com/article/368-connect-your-razorpay-account</t>
        </is>
      </c>
      <c r="F17" s="19" t="inlineStr">
        <is>
          <t>India-friendly checkout alternative and international reach</t>
        </is>
      </c>
      <c r="G17" s="19" t="inlineStr">
        <is>
          <t>24-Sep-2026</t>
        </is>
      </c>
    </row>
    <row r="18" ht="48" customHeight="1">
      <c r="B18" s="19" t="n">
        <v>11</v>
      </c>
      <c r="C18" s="19" t="inlineStr">
        <is>
          <t>Razorpay international</t>
        </is>
      </c>
      <c r="D18" s="19" t="inlineStr">
        <is>
          <t>Razorpay Docs — international payments</t>
        </is>
      </c>
      <c r="E18" s="39" t="inlineStr">
        <is>
          <t>https://razorpay.com/docs/payments/international-payments/</t>
        </is>
      </c>
      <c r="F18" s="19" t="inlineStr">
        <is>
          <t>International activation and multi-currency capability</t>
        </is>
      </c>
      <c r="G18" s="19" t="inlineStr">
        <is>
          <t>24-Sep-2026</t>
        </is>
      </c>
    </row>
    <row r="19" ht="48" customHeight="1">
      <c r="B19" s="19" t="n">
        <v>12</v>
      </c>
      <c r="C19" s="19" t="inlineStr">
        <is>
          <t>Razorpay settlement</t>
        </is>
      </c>
      <c r="D19" s="19" t="inlineStr">
        <is>
          <t>Razorpay Docs — settlement FAQs</t>
        </is>
      </c>
      <c r="E19" s="39" t="inlineStr">
        <is>
          <t>https://razorpay.com/docs/payments/settlements/faqs</t>
        </is>
      </c>
      <c r="F19" s="19" t="inlineStr">
        <is>
          <t>International settlement in INR and settlement timing</t>
        </is>
      </c>
      <c r="G19" s="19" t="inlineStr">
        <is>
          <t>24-Sep-2026</t>
        </is>
      </c>
    </row>
    <row r="20" ht="48" customHeight="1">
      <c r="B20" s="19" t="n">
        <v>13</v>
      </c>
      <c r="C20" s="19" t="inlineStr">
        <is>
          <t>Instagram metrics</t>
        </is>
      </c>
      <c r="D20" s="19" t="inlineStr">
        <is>
          <t>Instagram Help — insights</t>
        </is>
      </c>
      <c r="E20" s="39" t="inlineStr">
        <is>
          <t>https://help.instagram.com/788388387972460/</t>
        </is>
      </c>
      <c r="F20" s="19" t="inlineStr">
        <is>
          <t>Weekly reach, interactions and follower tracking</t>
        </is>
      </c>
      <c r="G20" s="19" t="inlineStr">
        <is>
          <t>24-Sep-2026</t>
        </is>
      </c>
    </row>
    <row r="21" ht="48" customHeight="1">
      <c r="B21" s="19" t="n">
        <v>14</v>
      </c>
      <c r="C21" s="19" t="inlineStr">
        <is>
          <t>Instagram content basics</t>
        </is>
      </c>
      <c r="D21" s="19" t="inlineStr">
        <is>
          <t>Instagram for Business — post tips</t>
        </is>
      </c>
      <c r="E21" s="39" t="inlineStr">
        <is>
          <t>https://business.instagram.com/instagram-post-tips/</t>
        </is>
      </c>
      <c r="F21" s="19" t="inlineStr">
        <is>
          <t>First-slide hooks, concise captions, direct CTAs and content calendar</t>
        </is>
      </c>
      <c r="G21" s="19" t="inlineStr">
        <is>
          <t>24-Sep-2026</t>
        </is>
      </c>
    </row>
    <row r="22" ht="48" customHeight="1">
      <c r="B22" s="19" t="n">
        <v>15</v>
      </c>
      <c r="C22" s="19" t="inlineStr">
        <is>
          <t>Instagram original content</t>
        </is>
      </c>
      <c r="D22" s="19" t="inlineStr">
        <is>
          <t>Instagram for Business — recommendations</t>
        </is>
      </c>
      <c r="E22" s="39" t="inlineStr">
        <is>
          <t>https://business.instagram.com/blog/instagram-feed-recommendations-changes-announcement?locale=en_GB</t>
        </is>
      </c>
      <c r="F22" s="19" t="inlineStr">
        <is>
          <t>Preference for original content and collaboration use</t>
        </is>
      </c>
      <c r="G22" s="19" t="inlineStr">
        <is>
          <t>24-Sep-2026</t>
        </is>
      </c>
    </row>
    <row r="23" ht="48" customHeight="1">
      <c r="B23" s="19" t="n">
        <v>16</v>
      </c>
      <c r="C23" s="19" t="inlineStr">
        <is>
          <t>Kit free plan</t>
        </is>
      </c>
      <c r="D23" s="19" t="inlineStr">
        <is>
          <t>Kit Help — free plan</t>
        </is>
      </c>
      <c r="E23" s="39" t="inlineStr">
        <is>
          <t>https://help.kit.com/en/articles/16627071-the-kit-free-plan</t>
        </is>
      </c>
      <c r="F23" s="19" t="inlineStr">
        <is>
          <t>Free landing pages, forms, broadcasts and segmentation</t>
        </is>
      </c>
      <c r="G23" s="19" t="inlineStr">
        <is>
          <t>24-Sep-2026</t>
        </is>
      </c>
    </row>
    <row r="24" ht="48" customHeight="1">
      <c r="B24" s="19" t="n">
        <v>17</v>
      </c>
      <c r="C24" s="19" t="inlineStr">
        <is>
          <t>GST LUT process</t>
        </is>
      </c>
      <c r="D24" s="19" t="inlineStr">
        <is>
          <t>GST Portal — furnish LUT</t>
        </is>
      </c>
      <c r="E24" s="39" t="inlineStr">
        <is>
          <t>https://tutorial.gst.gov.in/userguide/refund/Furnishing_of_Letter_of_Undertaking_for_Export_of_Goods_or_Services.htm</t>
        </is>
      </c>
      <c r="F24" s="19" t="inlineStr">
        <is>
          <t>CA discussion item for registered export treatment</t>
        </is>
      </c>
      <c r="G24" s="19" t="inlineStr">
        <is>
          <t>24-Sep-2026</t>
        </is>
      </c>
    </row>
    <row r="25" ht="48" customHeight="1">
      <c r="B25" s="19" t="n">
        <v>18</v>
      </c>
      <c r="C25" s="19" t="inlineStr">
        <is>
          <t>Export treatment</t>
        </is>
      </c>
      <c r="D25" s="19" t="inlineStr">
        <is>
          <t>CBIC sectoral FAQ</t>
        </is>
      </c>
      <c r="E25" s="39" t="inlineStr">
        <is>
          <t>https://cbic-gst.gov.in/hindi/sectoral-faq.html?ld=SDINSOADirect</t>
        </is>
      </c>
      <c r="F25" s="19" t="inlineStr">
        <is>
          <t>Exports can be zero-rated when legal conditions are met</t>
        </is>
      </c>
      <c r="G25" s="19" t="inlineStr">
        <is>
          <t>24-Sep-2026</t>
        </is>
      </c>
    </row>
    <row r="26" ht="48" customHeight="1">
      <c r="B26" s="19" t="n">
        <v>19</v>
      </c>
      <c r="C26" s="19" t="inlineStr">
        <is>
          <t>IEC for services</t>
        </is>
      </c>
      <c r="D26" s="19" t="inlineStr">
        <is>
          <t>DGFT — IEC profile management</t>
        </is>
      </c>
      <c r="E26" s="39" t="inlineStr">
        <is>
          <t>https://www.dgft.gov.in/CP/?opt=iec-profile-management</t>
        </is>
      </c>
      <c r="F26" s="19" t="inlineStr">
        <is>
          <t>IEC generally not necessary for service exports unless claiming FTP benefits</t>
        </is>
      </c>
      <c r="G26" s="19" t="inlineStr">
        <is>
          <t>24-Sep-2026</t>
        </is>
      </c>
    </row>
  </sheetData>
  <mergeCells count="2">
    <mergeCell ref="B3:M3"/>
    <mergeCell ref="B2:M2"/>
  </mergeCells>
  <hyperlinks>
    <hyperlink ref="B5" location="'Command Center'!B2"/>
    <hyperlink ref="C5" location="'90-Day Sprints'!B2"/>
    <hyperlink ref="D5" location="'Task Backlog'!B2"/>
    <hyperlink ref="E5" location="'Content Queue'!B2"/>
    <hyperlink ref="F5" location="'Product &amp; Funnel'!B2"/>
    <hyperlink ref="G5" location="'Metrics'!B2"/>
    <hyperlink ref="H5" location="'Sources'!B2"/>
    <hyperlink xmlns:r="http://schemas.openxmlformats.org/officeDocument/2006/relationships" ref="E8" r:id="rId1"/>
    <hyperlink xmlns:r="http://schemas.openxmlformats.org/officeDocument/2006/relationships" ref="E9" r:id="rId2"/>
    <hyperlink xmlns:r="http://schemas.openxmlformats.org/officeDocument/2006/relationships" ref="E10" r:id="rId3"/>
    <hyperlink xmlns:r="http://schemas.openxmlformats.org/officeDocument/2006/relationships" ref="E11" r:id="rId4"/>
    <hyperlink xmlns:r="http://schemas.openxmlformats.org/officeDocument/2006/relationships" ref="E12" r:id="rId5"/>
    <hyperlink xmlns:r="http://schemas.openxmlformats.org/officeDocument/2006/relationships" ref="E13" r:id="rId6"/>
    <hyperlink xmlns:r="http://schemas.openxmlformats.org/officeDocument/2006/relationships" ref="E14" r:id="rId7"/>
    <hyperlink xmlns:r="http://schemas.openxmlformats.org/officeDocument/2006/relationships" ref="E15" r:id="rId8"/>
    <hyperlink xmlns:r="http://schemas.openxmlformats.org/officeDocument/2006/relationships" ref="E16" r:id="rId9"/>
    <hyperlink xmlns:r="http://schemas.openxmlformats.org/officeDocument/2006/relationships" ref="E17" r:id="rId10"/>
    <hyperlink xmlns:r="http://schemas.openxmlformats.org/officeDocument/2006/relationships" ref="E18" r:id="rId11"/>
    <hyperlink xmlns:r="http://schemas.openxmlformats.org/officeDocument/2006/relationships" ref="E19" r:id="rId12"/>
    <hyperlink xmlns:r="http://schemas.openxmlformats.org/officeDocument/2006/relationships" ref="E20" r:id="rId13"/>
    <hyperlink xmlns:r="http://schemas.openxmlformats.org/officeDocument/2006/relationships" ref="E21" r:id="rId14"/>
    <hyperlink xmlns:r="http://schemas.openxmlformats.org/officeDocument/2006/relationships" ref="E22" r:id="rId15"/>
    <hyperlink xmlns:r="http://schemas.openxmlformats.org/officeDocument/2006/relationships" ref="E23" r:id="rId16"/>
    <hyperlink xmlns:r="http://schemas.openxmlformats.org/officeDocument/2006/relationships" ref="E24" r:id="rId17"/>
    <hyperlink xmlns:r="http://schemas.openxmlformats.org/officeDocument/2006/relationships" ref="E25" r:id="rId18"/>
    <hyperlink xmlns:r="http://schemas.openxmlformats.org/officeDocument/2006/relationships" ref="E26" r:id="rId19"/>
  </hyperlinks>
  <pageMargins left="0.25" right="0.25" top="0.5" bottom="0.5" header="0.5" footer="0.5"/>
  <pageSetup fitToHeight="0" fitToWidth="1"/>
  <headerFooter>
    <oddHeader/>
    <oddFooter>&amp;C1CRORE2REPS  |  Financial muscle for Indians everywhere.&amp;RPage &amp;P of &amp;N</oddFooter>
    <evenHeader/>
    <evenFooter/>
    <firstHeader/>
    <firstFooter/>
  </headerFooter>
  <tableParts count="1">
    <tablePart xmlns:r="http://schemas.openxmlformats.org/officeDocument/2006/relationships" r:id="rId20"/>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Perplexity AI</dc:creator>
  <dc:title xmlns:dc="http://purl.org/dc/elements/1.1/">1Crore2Reps 90-Day Revenue Execution Plan</dc:title>
  <dc:subject xmlns:dc="http://purl.org/dc/elements/1.1/">4-hour-per-week content, digital product, payment and sales operating system</dc:subject>
  <dcterms:created xmlns:dcterms="http://purl.org/dc/terms/" xmlns:xsi="http://www.w3.org/2001/XMLSchema-instance" xsi:type="dcterms:W3CDTF">2026-09-24T17:04:33Z</dcterms:created>
  <dcterms:modified xmlns:dcterms="http://purl.org/dc/terms/" xmlns:xsi="http://www.w3.org/2001/XMLSchema-instance" xsi:type="dcterms:W3CDTF">2026-09-24T17:04:33Z</dcterms:modified>
</cp:coreProperties>
</file>